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mtuananh/Downloads/Financial Model Project/"/>
    </mc:Choice>
  </mc:AlternateContent>
  <xr:revisionPtr revIDLastSave="0" documentId="13_ncr:1_{9D06D85D-4096-324D-8C87-BF8AC4291C0D}" xr6:coauthVersionLast="47" xr6:coauthVersionMax="47" xr10:uidLastSave="{00000000-0000-0000-0000-000000000000}"/>
  <bookViews>
    <workbookView xWindow="860" yWindow="1060" windowWidth="27280" windowHeight="17340" xr2:uid="{51C94CC5-0C2F-6D4D-9C41-E0029B3FD163}"/>
  </bookViews>
  <sheets>
    <sheet name="1-Financial Model" sheetId="1" r:id="rId1"/>
    <sheet name="2-Monthly Service Revenue" sheetId="5" r:id="rId2"/>
    <sheet name="3-Human Resource" sheetId="6" r:id="rId3"/>
    <sheet name="4-BD Scaling " sheetId="3" r:id="rId4"/>
    <sheet name="5-NPV IRR" sheetId="7" r:id="rId5"/>
    <sheet name="6-Referenc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H24" i="1"/>
  <c r="G24" i="1"/>
  <c r="F24" i="1"/>
  <c r="E24" i="1"/>
  <c r="D24" i="1"/>
  <c r="D30" i="1"/>
  <c r="H40" i="1"/>
  <c r="G40" i="1"/>
  <c r="F40" i="1"/>
  <c r="H67" i="1"/>
  <c r="G67" i="1"/>
  <c r="F67" i="1"/>
  <c r="E67" i="1"/>
  <c r="D67" i="1"/>
  <c r="F27" i="6"/>
  <c r="G27" i="6"/>
  <c r="H27" i="6"/>
  <c r="I27" i="6"/>
  <c r="E27" i="6"/>
  <c r="G23" i="6"/>
  <c r="H23" i="6"/>
  <c r="I23" i="6"/>
  <c r="F23" i="6"/>
  <c r="E23" i="6"/>
  <c r="G17" i="6"/>
  <c r="H17" i="6"/>
  <c r="I17" i="6"/>
  <c r="F24" i="3"/>
  <c r="F23" i="3"/>
  <c r="F22" i="3"/>
  <c r="F21" i="3"/>
  <c r="F20" i="3"/>
  <c r="F16" i="3"/>
  <c r="F15" i="3"/>
  <c r="F14" i="3"/>
  <c r="F13" i="3"/>
  <c r="F12" i="3"/>
  <c r="G139" i="5"/>
  <c r="H25" i="1"/>
  <c r="G25" i="1"/>
  <c r="F25" i="1"/>
  <c r="D25" i="1"/>
  <c r="D124" i="5"/>
  <c r="D125" i="5"/>
  <c r="D126" i="5"/>
  <c r="D127" i="5"/>
  <c r="D128" i="5"/>
  <c r="D129" i="5"/>
  <c r="D130" i="5"/>
  <c r="D131" i="5"/>
  <c r="D132" i="5"/>
  <c r="D133" i="5"/>
  <c r="D134" i="5"/>
  <c r="D123" i="5"/>
  <c r="F74" i="5"/>
  <c r="F75" i="5" s="1"/>
  <c r="F76" i="5" s="1"/>
  <c r="F77" i="5" s="1"/>
  <c r="F78" i="5" s="1"/>
  <c r="F79" i="5" s="1"/>
  <c r="F80" i="5" s="1"/>
  <c r="F81" i="5" s="1"/>
  <c r="F82" i="5" s="1"/>
  <c r="F83" i="5" s="1"/>
  <c r="F73" i="5"/>
  <c r="C74" i="5"/>
  <c r="C75" i="5" s="1"/>
  <c r="C76" i="5" s="1"/>
  <c r="C77" i="5" s="1"/>
  <c r="C78" i="5" s="1"/>
  <c r="C79" i="5" s="1"/>
  <c r="C80" i="5" s="1"/>
  <c r="C81" i="5" s="1"/>
  <c r="C82" i="5" s="1"/>
  <c r="C83" i="5" s="1"/>
  <c r="C73" i="5"/>
  <c r="F72" i="5"/>
  <c r="D73" i="5"/>
  <c r="D74" i="5"/>
  <c r="D75" i="5"/>
  <c r="D76" i="5"/>
  <c r="D77" i="5"/>
  <c r="D78" i="5"/>
  <c r="D79" i="5"/>
  <c r="D80" i="5"/>
  <c r="D81" i="5"/>
  <c r="D82" i="5"/>
  <c r="D83" i="5"/>
  <c r="F58" i="5"/>
  <c r="F59" i="5" s="1"/>
  <c r="F60" i="5" s="1"/>
  <c r="F61" i="5" s="1"/>
  <c r="F62" i="5" s="1"/>
  <c r="F63" i="5" s="1"/>
  <c r="F64" i="5" s="1"/>
  <c r="F65" i="5" s="1"/>
  <c r="F66" i="5" s="1"/>
  <c r="F67" i="5" s="1"/>
  <c r="F57" i="5"/>
  <c r="C58" i="5"/>
  <c r="C59" i="5" s="1"/>
  <c r="C60" i="5" s="1"/>
  <c r="C61" i="5" s="1"/>
  <c r="C62" i="5" s="1"/>
  <c r="C63" i="5" s="1"/>
  <c r="C64" i="5" s="1"/>
  <c r="C65" i="5" s="1"/>
  <c r="C66" i="5" s="1"/>
  <c r="C67" i="5" s="1"/>
  <c r="C57" i="5"/>
  <c r="F56" i="5"/>
  <c r="D72" i="5"/>
  <c r="D67" i="5"/>
  <c r="D66" i="5"/>
  <c r="D65" i="5"/>
  <c r="D64" i="5"/>
  <c r="D63" i="5"/>
  <c r="D62" i="5"/>
  <c r="D61" i="5"/>
  <c r="D68" i="5" s="1"/>
  <c r="D60" i="5"/>
  <c r="D59" i="5"/>
  <c r="D58" i="5"/>
  <c r="D57" i="5"/>
  <c r="D56" i="5"/>
  <c r="C56" i="5"/>
  <c r="D52" i="5"/>
  <c r="F42" i="5"/>
  <c r="F43" i="5" s="1"/>
  <c r="F44" i="5" s="1"/>
  <c r="F45" i="5" s="1"/>
  <c r="F46" i="5" s="1"/>
  <c r="F47" i="5" s="1"/>
  <c r="F48" i="5" s="1"/>
  <c r="F49" i="5" s="1"/>
  <c r="F50" i="5" s="1"/>
  <c r="F51" i="5" s="1"/>
  <c r="C42" i="5"/>
  <c r="C43" i="5" s="1"/>
  <c r="C44" i="5" s="1"/>
  <c r="C45" i="5" s="1"/>
  <c r="C46" i="5" s="1"/>
  <c r="C47" i="5" s="1"/>
  <c r="C48" i="5" s="1"/>
  <c r="C49" i="5" s="1"/>
  <c r="C50" i="5" s="1"/>
  <c r="C51" i="5" s="1"/>
  <c r="C41" i="5"/>
  <c r="F41" i="5"/>
  <c r="C40" i="5"/>
  <c r="F40" i="5"/>
  <c r="D41" i="5"/>
  <c r="D42" i="5"/>
  <c r="D43" i="5"/>
  <c r="D44" i="5"/>
  <c r="D45" i="5"/>
  <c r="D46" i="5"/>
  <c r="D47" i="5"/>
  <c r="D48" i="5"/>
  <c r="D49" i="5"/>
  <c r="D50" i="5"/>
  <c r="D51" i="5"/>
  <c r="D40" i="5"/>
  <c r="G17" i="1"/>
  <c r="H17" i="1" s="1"/>
  <c r="F17" i="1"/>
  <c r="E17" i="1"/>
  <c r="E15" i="1"/>
  <c r="F15" i="1"/>
  <c r="G15" i="1"/>
  <c r="H15" i="1"/>
  <c r="D15" i="1"/>
  <c r="H14" i="1"/>
  <c r="H13" i="1"/>
  <c r="G13" i="1"/>
  <c r="F12" i="1"/>
  <c r="G12" i="1"/>
  <c r="H12" i="1"/>
  <c r="E12" i="1"/>
  <c r="D12" i="1"/>
  <c r="D8" i="1"/>
  <c r="D11" i="1" s="1"/>
  <c r="D17" i="1" s="1"/>
  <c r="F25" i="3" l="1"/>
  <c r="F17" i="3"/>
  <c r="E6" i="1" l="1"/>
  <c r="F18" i="1"/>
  <c r="E7" i="7"/>
  <c r="E4" i="7"/>
  <c r="D58" i="1"/>
  <c r="E41" i="1"/>
  <c r="F41" i="1" s="1"/>
  <c r="E5" i="7"/>
  <c r="E6" i="7"/>
  <c r="E8" i="7"/>
  <c r="E3" i="7"/>
  <c r="D54" i="1"/>
  <c r="D60" i="1"/>
  <c r="E21" i="6"/>
  <c r="F21" i="6" s="1"/>
  <c r="G21" i="6" s="1"/>
  <c r="H21" i="6" s="1"/>
  <c r="I21" i="6" s="1"/>
  <c r="E20" i="6"/>
  <c r="F20" i="6" s="1"/>
  <c r="D33" i="1"/>
  <c r="E33" i="1" s="1"/>
  <c r="F33" i="1" s="1"/>
  <c r="G33" i="1" s="1"/>
  <c r="H33" i="1" s="1"/>
  <c r="E40" i="1"/>
  <c r="H60" i="1" s="1"/>
  <c r="F17" i="6"/>
  <c r="F38" i="1"/>
  <c r="F63" i="1" s="1"/>
  <c r="G38" i="1"/>
  <c r="G63" i="1" s="1"/>
  <c r="H38" i="1"/>
  <c r="H63" i="1" s="1"/>
  <c r="E17" i="6"/>
  <c r="D38" i="1" s="1"/>
  <c r="D63" i="1" s="1"/>
  <c r="F4" i="3"/>
  <c r="F5" i="3"/>
  <c r="F6" i="3"/>
  <c r="F7" i="3"/>
  <c r="F8" i="3"/>
  <c r="E31" i="1"/>
  <c r="F31" i="1" s="1"/>
  <c r="G31" i="1" s="1"/>
  <c r="H31" i="1" s="1"/>
  <c r="E30" i="1"/>
  <c r="F30" i="1" s="1"/>
  <c r="G30" i="1" s="1"/>
  <c r="H30" i="1" s="1"/>
  <c r="E83" i="5"/>
  <c r="E82" i="5"/>
  <c r="E81" i="5"/>
  <c r="E80" i="5"/>
  <c r="E79" i="5"/>
  <c r="E78" i="5"/>
  <c r="E77" i="5"/>
  <c r="E76" i="5"/>
  <c r="E75" i="5"/>
  <c r="E74" i="5"/>
  <c r="E73" i="5"/>
  <c r="E72" i="5"/>
  <c r="E67" i="5"/>
  <c r="E66" i="5"/>
  <c r="E65" i="5"/>
  <c r="E64" i="5"/>
  <c r="E63" i="5"/>
  <c r="E62" i="5"/>
  <c r="E61" i="5"/>
  <c r="E60" i="5"/>
  <c r="E59" i="5"/>
  <c r="E58" i="5"/>
  <c r="E57" i="5"/>
  <c r="E56" i="5"/>
  <c r="E51" i="5"/>
  <c r="E50" i="5"/>
  <c r="E49" i="5"/>
  <c r="E48" i="5"/>
  <c r="E47" i="5"/>
  <c r="E46" i="5"/>
  <c r="E45" i="5"/>
  <c r="E44" i="5"/>
  <c r="E43" i="5"/>
  <c r="E42" i="5"/>
  <c r="E41" i="5"/>
  <c r="E40" i="5"/>
  <c r="F56" i="1" l="1"/>
  <c r="D56" i="1"/>
  <c r="E53" i="1"/>
  <c r="G20" i="6"/>
  <c r="D62" i="1"/>
  <c r="D53" i="1"/>
  <c r="F9" i="3"/>
  <c r="F6" i="1"/>
  <c r="E8" i="1"/>
  <c r="E11" i="1" s="1"/>
  <c r="D110" i="5"/>
  <c r="D118" i="5"/>
  <c r="D94" i="5"/>
  <c r="D102" i="5"/>
  <c r="D111" i="5"/>
  <c r="D95" i="5"/>
  <c r="D91" i="5"/>
  <c r="D115" i="5"/>
  <c r="D117" i="5"/>
  <c r="D99" i="5"/>
  <c r="D116" i="5"/>
  <c r="D92" i="5"/>
  <c r="D112" i="5"/>
  <c r="D96" i="5"/>
  <c r="D113" i="5"/>
  <c r="D97" i="5"/>
  <c r="D114" i="5"/>
  <c r="D98" i="5"/>
  <c r="D108" i="5"/>
  <c r="D109" i="5"/>
  <c r="D107" i="5"/>
  <c r="D100" i="5"/>
  <c r="D93" i="5"/>
  <c r="D101" i="5"/>
  <c r="E20" i="1"/>
  <c r="D20" i="1"/>
  <c r="E58" i="1"/>
  <c r="F58" i="1"/>
  <c r="G41" i="1"/>
  <c r="G60" i="1"/>
  <c r="F60" i="1"/>
  <c r="E60" i="1"/>
  <c r="E39" i="1"/>
  <c r="E64" i="1" s="1"/>
  <c r="E38" i="1"/>
  <c r="E63" i="1" s="1"/>
  <c r="D39" i="1"/>
  <c r="D64" i="1" s="1"/>
  <c r="H39" i="1"/>
  <c r="H64" i="1" s="1"/>
  <c r="G39" i="1"/>
  <c r="G64" i="1" s="1"/>
  <c r="F39" i="1"/>
  <c r="F64" i="1" s="1"/>
  <c r="E62" i="1" l="1"/>
  <c r="G56" i="1"/>
  <c r="E56" i="1"/>
  <c r="F62" i="1"/>
  <c r="H20" i="6"/>
  <c r="G6" i="1"/>
  <c r="F8" i="1"/>
  <c r="F11" i="1" s="1"/>
  <c r="D119" i="5"/>
  <c r="D103" i="5"/>
  <c r="D19" i="5"/>
  <c r="F24" i="6"/>
  <c r="H41" i="1"/>
  <c r="H58" i="1" s="1"/>
  <c r="G58" i="1"/>
  <c r="F53" i="1"/>
  <c r="H56" i="1" l="1"/>
  <c r="I20" i="6"/>
  <c r="G62" i="1"/>
  <c r="H6" i="1"/>
  <c r="H8" i="1" s="1"/>
  <c r="H11" i="1" s="1"/>
  <c r="G8" i="1"/>
  <c r="G11" i="1" s="1"/>
  <c r="D9" i="5"/>
  <c r="D17" i="5"/>
  <c r="F20" i="1"/>
  <c r="E24" i="6"/>
  <c r="D8" i="5"/>
  <c r="F8" i="5" s="1"/>
  <c r="D11" i="5"/>
  <c r="D28" i="5"/>
  <c r="D29" i="5"/>
  <c r="D35" i="5"/>
  <c r="D16" i="5"/>
  <c r="D18" i="5"/>
  <c r="D31" i="5"/>
  <c r="D10" i="5"/>
  <c r="D30" i="5"/>
  <c r="D15" i="5"/>
  <c r="D13" i="5"/>
  <c r="D26" i="5"/>
  <c r="D14" i="5"/>
  <c r="D12" i="5"/>
  <c r="D24" i="5"/>
  <c r="D27" i="5"/>
  <c r="D33" i="5"/>
  <c r="D34" i="5"/>
  <c r="D25" i="5"/>
  <c r="D32" i="5"/>
  <c r="G24" i="6"/>
  <c r="E57" i="1"/>
  <c r="F25" i="6"/>
  <c r="F28" i="6" s="1"/>
  <c r="G53" i="1"/>
  <c r="H62" i="1" l="1"/>
  <c r="D32" i="1"/>
  <c r="D47" i="1" s="1"/>
  <c r="D20" i="5"/>
  <c r="C34" i="5" s="1"/>
  <c r="D36" i="5"/>
  <c r="G20" i="1"/>
  <c r="H24" i="6"/>
  <c r="E32" i="1"/>
  <c r="E47" i="1" s="1"/>
  <c r="E37" i="1"/>
  <c r="D57" i="1"/>
  <c r="D65" i="1" s="1"/>
  <c r="E25" i="6"/>
  <c r="E28" i="6" s="1"/>
  <c r="F57" i="1"/>
  <c r="G25" i="6"/>
  <c r="G28" i="6" s="1"/>
  <c r="H53" i="1"/>
  <c r="F9" i="5"/>
  <c r="G8" i="5"/>
  <c r="C33" i="5" l="1"/>
  <c r="C32" i="5"/>
  <c r="C30" i="5"/>
  <c r="C31" i="5"/>
  <c r="C28" i="5"/>
  <c r="C25" i="5"/>
  <c r="C27" i="5"/>
  <c r="C35" i="5"/>
  <c r="C29" i="5"/>
  <c r="C24" i="5"/>
  <c r="F24" i="5" s="1"/>
  <c r="C26" i="5"/>
  <c r="H20" i="1"/>
  <c r="G57" i="1"/>
  <c r="H25" i="6"/>
  <c r="H28" i="6" s="1"/>
  <c r="G37" i="1" s="1"/>
  <c r="F32" i="1"/>
  <c r="G32" i="1" s="1"/>
  <c r="I24" i="6"/>
  <c r="D37" i="1"/>
  <c r="F37" i="1"/>
  <c r="F10" i="5"/>
  <c r="G9" i="5"/>
  <c r="F47" i="1" l="1"/>
  <c r="D135" i="5"/>
  <c r="D84" i="5"/>
  <c r="I25" i="6"/>
  <c r="I28" i="6" s="1"/>
  <c r="H37" i="1" s="1"/>
  <c r="H57" i="1"/>
  <c r="H32" i="1"/>
  <c r="H47" i="1" s="1"/>
  <c r="G47" i="1"/>
  <c r="F11" i="5"/>
  <c r="G10" i="5"/>
  <c r="F25" i="5"/>
  <c r="G24" i="5"/>
  <c r="F91" i="5" l="1"/>
  <c r="F26" i="5"/>
  <c r="G25" i="5"/>
  <c r="F12" i="5"/>
  <c r="G11" i="5"/>
  <c r="G91" i="5" l="1"/>
  <c r="F92" i="5"/>
  <c r="G40" i="5"/>
  <c r="F13" i="5"/>
  <c r="G12" i="5"/>
  <c r="F27" i="5"/>
  <c r="G26" i="5"/>
  <c r="F93" i="5" l="1"/>
  <c r="G92" i="5"/>
  <c r="F14" i="5"/>
  <c r="G13" i="5"/>
  <c r="F28" i="5"/>
  <c r="G27" i="5"/>
  <c r="G41" i="5"/>
  <c r="F94" i="5" l="1"/>
  <c r="G93" i="5"/>
  <c r="F29" i="5"/>
  <c r="G28" i="5"/>
  <c r="F15" i="5"/>
  <c r="G14" i="5"/>
  <c r="G42" i="5"/>
  <c r="G94" i="5" l="1"/>
  <c r="F95" i="5"/>
  <c r="F16" i="5"/>
  <c r="G15" i="5"/>
  <c r="G43" i="5"/>
  <c r="F30" i="5"/>
  <c r="G29" i="5"/>
  <c r="F96" i="5" l="1"/>
  <c r="G95" i="5"/>
  <c r="G44" i="5"/>
  <c r="F31" i="5"/>
  <c r="G30" i="5"/>
  <c r="F17" i="5"/>
  <c r="G16" i="5"/>
  <c r="G96" i="5" l="1"/>
  <c r="F97" i="5"/>
  <c r="G45" i="5"/>
  <c r="F32" i="5"/>
  <c r="G31" i="5"/>
  <c r="F18" i="5"/>
  <c r="G17" i="5"/>
  <c r="G97" i="5" l="1"/>
  <c r="F98" i="5"/>
  <c r="F19" i="5"/>
  <c r="G18" i="5"/>
  <c r="F33" i="5"/>
  <c r="G32" i="5"/>
  <c r="G46" i="5"/>
  <c r="G98" i="5" l="1"/>
  <c r="F99" i="5"/>
  <c r="G19" i="5"/>
  <c r="G20" i="5" s="1"/>
  <c r="F20" i="5"/>
  <c r="G33" i="5"/>
  <c r="F34" i="5"/>
  <c r="G47" i="5"/>
  <c r="G99" i="5" l="1"/>
  <c r="F100" i="5"/>
  <c r="D26" i="1"/>
  <c r="D46" i="1" s="1"/>
  <c r="D48" i="1" s="1"/>
  <c r="G48" i="5"/>
  <c r="F35" i="5"/>
  <c r="G34" i="5"/>
  <c r="F101" i="5" l="1"/>
  <c r="G100" i="5"/>
  <c r="D66" i="1"/>
  <c r="D68" i="1" s="1"/>
  <c r="D70" i="1" s="1"/>
  <c r="C4" i="7" s="1"/>
  <c r="F3" i="7"/>
  <c r="D49" i="1"/>
  <c r="G35" i="5"/>
  <c r="G36" i="5" s="1"/>
  <c r="F36" i="5"/>
  <c r="G49" i="5"/>
  <c r="F102" i="5" l="1"/>
  <c r="G101" i="5"/>
  <c r="E25" i="1"/>
  <c r="E26" i="1" s="1"/>
  <c r="E35" i="1" s="1"/>
  <c r="G50" i="5"/>
  <c r="F103" i="5" l="1"/>
  <c r="C107" i="5" s="1"/>
  <c r="C108" i="5" s="1"/>
  <c r="G102" i="5"/>
  <c r="G103" i="5" s="1"/>
  <c r="E46" i="1"/>
  <c r="E48" i="1" s="1"/>
  <c r="G51" i="5"/>
  <c r="G52" i="5" s="1"/>
  <c r="F52" i="5"/>
  <c r="C109" i="5" l="1"/>
  <c r="F107" i="5"/>
  <c r="E54" i="1"/>
  <c r="E65" i="1" s="1"/>
  <c r="E66" i="1" s="1"/>
  <c r="E68" i="1" s="1"/>
  <c r="E70" i="1" s="1"/>
  <c r="E49" i="1"/>
  <c r="F26" i="1"/>
  <c r="C110" i="5" l="1"/>
  <c r="C111" i="5" s="1"/>
  <c r="C112" i="5" s="1"/>
  <c r="C113" i="5" s="1"/>
  <c r="C114" i="5" s="1"/>
  <c r="C115" i="5" s="1"/>
  <c r="C116" i="5" s="1"/>
  <c r="C117" i="5" s="1"/>
  <c r="C118" i="5" s="1"/>
  <c r="G107" i="5"/>
  <c r="F108" i="5"/>
  <c r="C5" i="7"/>
  <c r="F46" i="1"/>
  <c r="F48" i="1" s="1"/>
  <c r="F35" i="1"/>
  <c r="G56" i="5"/>
  <c r="F109" i="5" l="1"/>
  <c r="G108" i="5"/>
  <c r="F4" i="7"/>
  <c r="F54" i="1"/>
  <c r="F65" i="1" s="1"/>
  <c r="F66" i="1" s="1"/>
  <c r="F68" i="1" s="1"/>
  <c r="F49" i="1"/>
  <c r="G57" i="5"/>
  <c r="G109" i="5" l="1"/>
  <c r="F110" i="5"/>
  <c r="F69" i="1"/>
  <c r="F70" i="1" s="1"/>
  <c r="C6" i="7" s="1"/>
  <c r="G58" i="5"/>
  <c r="G110" i="5" l="1"/>
  <c r="F111" i="5"/>
  <c r="F5" i="7"/>
  <c r="G59" i="5"/>
  <c r="G111" i="5" l="1"/>
  <c r="F112" i="5"/>
  <c r="G60" i="5"/>
  <c r="G112" i="5" l="1"/>
  <c r="F113" i="5"/>
  <c r="G61" i="5"/>
  <c r="F114" i="5" l="1"/>
  <c r="G113" i="5"/>
  <c r="G62" i="5"/>
  <c r="F115" i="5" l="1"/>
  <c r="G114" i="5"/>
  <c r="G63" i="5"/>
  <c r="G115" i="5" l="1"/>
  <c r="F116" i="5"/>
  <c r="G64" i="5"/>
  <c r="F117" i="5" l="1"/>
  <c r="G116" i="5"/>
  <c r="G65" i="5"/>
  <c r="G117" i="5" l="1"/>
  <c r="F118" i="5"/>
  <c r="G66" i="5"/>
  <c r="G118" i="5" l="1"/>
  <c r="G119" i="5" s="1"/>
  <c r="F119" i="5"/>
  <c r="C123" i="5" s="1"/>
  <c r="F68" i="5"/>
  <c r="C72" i="5" s="1"/>
  <c r="G67" i="5"/>
  <c r="G68" i="5" s="1"/>
  <c r="C124" i="5" l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F123" i="5"/>
  <c r="G26" i="1"/>
  <c r="G123" i="5" l="1"/>
  <c r="F124" i="5"/>
  <c r="G46" i="1"/>
  <c r="G48" i="1" s="1"/>
  <c r="G35" i="1"/>
  <c r="G72" i="5"/>
  <c r="F125" i="5" l="1"/>
  <c r="G124" i="5"/>
  <c r="G54" i="1"/>
  <c r="G65" i="1" s="1"/>
  <c r="G66" i="1" s="1"/>
  <c r="G68" i="1" s="1"/>
  <c r="G49" i="1"/>
  <c r="G73" i="5"/>
  <c r="G125" i="5" l="1"/>
  <c r="F126" i="5"/>
  <c r="G69" i="1"/>
  <c r="G70" i="1" s="1"/>
  <c r="G74" i="5"/>
  <c r="F127" i="5" l="1"/>
  <c r="G126" i="5"/>
  <c r="F6" i="7"/>
  <c r="C7" i="7"/>
  <c r="F7" i="7" s="1"/>
  <c r="G75" i="5"/>
  <c r="F128" i="5" l="1"/>
  <c r="G127" i="5"/>
  <c r="G76" i="5"/>
  <c r="F129" i="5" l="1"/>
  <c r="G128" i="5"/>
  <c r="G77" i="5"/>
  <c r="G129" i="5" l="1"/>
  <c r="F130" i="5"/>
  <c r="G78" i="5"/>
  <c r="G130" i="5" l="1"/>
  <c r="F131" i="5"/>
  <c r="G79" i="5"/>
  <c r="G131" i="5" l="1"/>
  <c r="F132" i="5"/>
  <c r="G80" i="5"/>
  <c r="G132" i="5" l="1"/>
  <c r="F133" i="5"/>
  <c r="G81" i="5"/>
  <c r="G133" i="5" l="1"/>
  <c r="F134" i="5"/>
  <c r="G82" i="5"/>
  <c r="F135" i="5" l="1"/>
  <c r="G134" i="5"/>
  <c r="G135" i="5" s="1"/>
  <c r="G137" i="5" s="1"/>
  <c r="G83" i="5"/>
  <c r="G84" i="5" s="1"/>
  <c r="F84" i="5"/>
  <c r="H26" i="1" l="1"/>
  <c r="G86" i="5"/>
  <c r="H46" i="1" l="1"/>
  <c r="H48" i="1" s="1"/>
  <c r="H35" i="1"/>
  <c r="H54" i="1" l="1"/>
  <c r="H65" i="1" s="1"/>
  <c r="H66" i="1" s="1"/>
  <c r="H68" i="1" s="1"/>
  <c r="H49" i="1"/>
  <c r="H69" i="1" l="1"/>
  <c r="H70" i="1" s="1"/>
  <c r="C8" i="7" s="1"/>
  <c r="C11" i="7" s="1"/>
  <c r="F8" i="7" l="1"/>
  <c r="F9" i="7" s="1"/>
</calcChain>
</file>

<file path=xl/sharedStrings.xml><?xml version="1.0" encoding="utf-8"?>
<sst xmlns="http://schemas.openxmlformats.org/spreadsheetml/2006/main" count="381" uniqueCount="181">
  <si>
    <t>Assumptions</t>
  </si>
  <si>
    <t>COGS</t>
  </si>
  <si>
    <t>Revenue Assumptions</t>
  </si>
  <si>
    <t>Variable</t>
  </si>
  <si>
    <t>Fixed</t>
  </si>
  <si>
    <t>Salaries</t>
  </si>
  <si>
    <t>Revenue</t>
  </si>
  <si>
    <t>Gross Profit</t>
  </si>
  <si>
    <t>Gross Profit Margin</t>
  </si>
  <si>
    <t>Tax Rate</t>
  </si>
  <si>
    <t>#</t>
  </si>
  <si>
    <t>Unit</t>
  </si>
  <si>
    <t>%</t>
  </si>
  <si>
    <t>$</t>
  </si>
  <si>
    <t>WaveCare Forecast</t>
  </si>
  <si>
    <t>Nursing Institute Report</t>
  </si>
  <si>
    <t>https://nurse.mohw.gov.tw/mp-2.html</t>
  </si>
  <si>
    <t>Elderly Instution Report</t>
  </si>
  <si>
    <t>https://stis.mohw.gov.tw/HWSDweb/common/CommonQuery.aspx?code=G&amp;id=69&amp;utm_source=chatgpt.com</t>
  </si>
  <si>
    <t>Year 1</t>
  </si>
  <si>
    <t>Year 2</t>
  </si>
  <si>
    <t>Year 3</t>
  </si>
  <si>
    <t>Year 4</t>
  </si>
  <si>
    <t>Year 5</t>
  </si>
  <si>
    <t>Year</t>
  </si>
  <si>
    <t>BD</t>
  </si>
  <si>
    <t>Close rate</t>
  </si>
  <si>
    <t>Y1</t>
  </si>
  <si>
    <t>Y2</t>
  </si>
  <si>
    <t>Y3</t>
  </si>
  <si>
    <t>Y4</t>
  </si>
  <si>
    <t>Y5</t>
  </si>
  <si>
    <t>Total</t>
  </si>
  <si>
    <t>Expected Lead/BD/Year</t>
  </si>
  <si>
    <t>New Sales</t>
  </si>
  <si>
    <t>Hardware Revenue</t>
  </si>
  <si>
    <t>Market Base</t>
  </si>
  <si>
    <t>Residents per facility</t>
  </si>
  <si>
    <t>Benchmark for prices</t>
  </si>
  <si>
    <t>https://www.ncoa.org/product-resources/medical-alert-systems/best-medical-alert-systems-with-fall-detection/?utm_source=chatgpt.com</t>
  </si>
  <si>
    <t>Nursing homes price/month</t>
  </si>
  <si>
    <t>https://store.directsupply.com/Product/replacement-wristband-transmitter-tl-4005-door-systems-11023710?quantity=1</t>
  </si>
  <si>
    <t>Nurse call band</t>
  </si>
  <si>
    <t>https://www.aftygh.gov.tw/english-dep/nursing-home/?utm_source=chatgpt.com
https://chnh.mohw.gov.tw/eng/content/index.aspx?Parser=1%2C14%2C95%2C79&amp;utm_source=chatgpt.com
https://www.tsmh.org.tw/sites/tsmhcare/fee.html?utm_source=chatgpt.com
https://www.paochien.com.tw/twuse/page?pageid=1100005&amp;typeid=1000&amp;utm_source=chatgpt.com
https://wwwv.tsgh.ndmutsgh.edu.tw/unit/10071/17981</t>
  </si>
  <si>
    <t>Note</t>
  </si>
  <si>
    <t>(1) Total Addressable Market (TAM) is expected to increased by 2% each year.</t>
  </si>
  <si>
    <t>Total Revenue</t>
  </si>
  <si>
    <t>Annual Service Revenue</t>
  </si>
  <si>
    <t>Total facilities</t>
  </si>
  <si>
    <t>Churn rate</t>
  </si>
  <si>
    <t>New facilities</t>
  </si>
  <si>
    <t>WaveCare Monthly Service Revenue Cohort Assumption</t>
  </si>
  <si>
    <t>Month</t>
  </si>
  <si>
    <t>Jan</t>
  </si>
  <si>
    <t>Feb</t>
  </si>
  <si>
    <t>New Signed</t>
  </si>
  <si>
    <t>Active from Y-1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</si>
  <si>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</si>
  <si>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</si>
  <si>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</si>
  <si>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</si>
  <si>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</si>
  <si>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</si>
  <si>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</si>
  <si>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</si>
  <si>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</si>
  <si>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</si>
  <si>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service revenue</t>
  </si>
  <si>
    <t>Cumulative Total Active</t>
  </si>
  <si>
    <t>Total Year 1</t>
  </si>
  <si>
    <t>Total Year 2</t>
  </si>
  <si>
    <t>Total Year 3</t>
  </si>
  <si>
    <t>Total Year 4</t>
  </si>
  <si>
    <t>Total Year 5</t>
  </si>
  <si>
    <t>Churn Rate</t>
  </si>
  <si>
    <t>Active facilities</t>
  </si>
  <si>
    <t>Hardware COSG (per facility)</t>
  </si>
  <si>
    <t>(4) Assume that the cost of the Installation is affected by 3% inflation every year.</t>
  </si>
  <si>
    <t>Certification &amp; Compliance Cost</t>
  </si>
  <si>
    <t>WaveCare Personel Forecast</t>
  </si>
  <si>
    <t>Engineer</t>
  </si>
  <si>
    <t>Business Development</t>
  </si>
  <si>
    <t>Admin/ Support</t>
  </si>
  <si>
    <t>Customer Support Employee ($1000 per month)</t>
  </si>
  <si>
    <t>Quantity Assumptions</t>
  </si>
  <si>
    <t>Total Salaries</t>
  </si>
  <si>
    <t>Firmware Engineer ($3000 per month)</t>
  </si>
  <si>
    <t>Backend Engineer ($3000 per month)</t>
  </si>
  <si>
    <t>(9) Assumptions are in Personel Sheet.</t>
  </si>
  <si>
    <t>Salaries &amp; Commission</t>
  </si>
  <si>
    <t>(1) Commission is based on 5% revenue of the Hardware.</t>
  </si>
  <si>
    <t>Rent &amp; Utilities</t>
  </si>
  <si>
    <t>(10) Assume that Co-working space/ Renting lab is US$250 per person per month. Utilities is included.</t>
  </si>
  <si>
    <t>(11) Assume that each employee needs 01 laptop (One-time: US$1500 per laptop) and annually US$5000 for other tools &amp; equipments.</t>
  </si>
  <si>
    <t xml:space="preserve">Marketing &amp; Campaigns </t>
  </si>
  <si>
    <t>Cloud Infrastructure (per resident)</t>
  </si>
  <si>
    <t>(5) Assume that 5% of Hardware Revenue is contributed to Warranty.</t>
  </si>
  <si>
    <t>(6) Cloud Infrastructure: US$ = 0.5 per month per resident. Assume that the cost of the Cloud Infrastructure is affected by 3% inflation every year.</t>
  </si>
  <si>
    <t>Pro-Forma Income Statement</t>
  </si>
  <si>
    <t>Operating Expenses - OpEx</t>
  </si>
  <si>
    <t>EBITDA</t>
  </si>
  <si>
    <t>Installation Cost (per facility)</t>
  </si>
  <si>
    <t>Cost Structure</t>
  </si>
  <si>
    <t>Salaries - Engineer</t>
  </si>
  <si>
    <t>(2) Assume that Salary Increase Rate is 5% annually.</t>
  </si>
  <si>
    <t>Base Salary</t>
  </si>
  <si>
    <t xml:space="preserve">Firmware Engineer </t>
  </si>
  <si>
    <t xml:space="preserve">Backend Engineer </t>
  </si>
  <si>
    <t>Business Development Employee ($1500 per month)</t>
  </si>
  <si>
    <t>Business Development Employee's Commission</t>
  </si>
  <si>
    <t>Product R&amp;D Cost</t>
  </si>
  <si>
    <t>(7) Coding cost is paid one-time to build Minimum Viable Product (MVP) at Y1. From Y2, 2% of Revenue is contributed to Product R&amp;D.</t>
  </si>
  <si>
    <t>Product Research and Development</t>
  </si>
  <si>
    <t>Sales Commission Expense</t>
  </si>
  <si>
    <t>Travel and Entertainment</t>
  </si>
  <si>
    <t>Marketing &amp; Campaigns Expense</t>
  </si>
  <si>
    <t>R&amp;D Expenses</t>
  </si>
  <si>
    <t>Selling Expenses</t>
  </si>
  <si>
    <t>Marketing Expenses</t>
  </si>
  <si>
    <t>Administrative Expenses</t>
  </si>
  <si>
    <t>Salaries - Customer Support Employee</t>
  </si>
  <si>
    <t>Salaries - Business Development Employee</t>
  </si>
  <si>
    <t>Office supplies and Equipment</t>
  </si>
  <si>
    <t>Total Operating Expense</t>
  </si>
  <si>
    <t>Amortization</t>
  </si>
  <si>
    <t>EBT</t>
  </si>
  <si>
    <t>Tax (20%)</t>
  </si>
  <si>
    <t>Net Income (Loss)</t>
  </si>
  <si>
    <t xml:space="preserve"> </t>
  </si>
  <si>
    <t>(3) Assume that Commission is based on 10% of the Hardware Revenue.</t>
  </si>
  <si>
    <t>CF</t>
  </si>
  <si>
    <t>Discount Factor</t>
  </si>
  <si>
    <t>WACC</t>
  </si>
  <si>
    <t>Total NPV</t>
  </si>
  <si>
    <t>IRR</t>
  </si>
  <si>
    <t>NPV</t>
  </si>
  <si>
    <t>Questions</t>
  </si>
  <si>
    <t>Financial</t>
  </si>
  <si>
    <t>NPV too small?</t>
  </si>
  <si>
    <t>Warranty = 5% too small or not?</t>
  </si>
  <si>
    <t>R&amp;D 2% is too small or not?</t>
  </si>
  <si>
    <t>Do we have to make the balance sheet &amp; cashflow ?</t>
  </si>
  <si>
    <t>400k Funding is enough or not?</t>
  </si>
  <si>
    <t>Should we include salary of C-Level?</t>
  </si>
  <si>
    <t>WACC 20% ?</t>
  </si>
  <si>
    <t>Is the market too small? Should we expand to other countries? From what year?</t>
  </si>
  <si>
    <t>Validation</t>
  </si>
  <si>
    <t>What if we haven't gotten any KPI?</t>
  </si>
  <si>
    <t>Warranty Expense (variable portion)</t>
  </si>
  <si>
    <t>Taiwanese Market</t>
  </si>
  <si>
    <t>Korean Market</t>
  </si>
  <si>
    <t>Japanese Market</t>
  </si>
  <si>
    <t>Active facilities (Taiwanese market)</t>
  </si>
  <si>
    <t>Active facilities (Korean pilot)</t>
  </si>
  <si>
    <t>Active facilities (Japanese pilot)</t>
  </si>
  <si>
    <t>https://www.jkgn.org/journal/view.php?number=619&amp;utm_source=chatgpt.com</t>
  </si>
  <si>
    <t>https://www.mhlw.go.jp/toukei/saikin/hw/kaigo/service24/dl/gaikyo.pdf?utm_source=chatgpt.com</t>
  </si>
  <si>
    <t>Total Taiwanese Market's Revenue</t>
  </si>
  <si>
    <t xml:space="preserve">Korean &amp; Japanese Pilot </t>
  </si>
  <si>
    <t>Total Korean &amp; Japanese Pilot Revenue</t>
  </si>
  <si>
    <t>Total facilities (Korean pilot)</t>
  </si>
  <si>
    <t>Total facilities (Japanese pilot)</t>
  </si>
  <si>
    <t>Total Addressable Market (Taiwanese market)</t>
  </si>
  <si>
    <t>Adoption rate (Taiwanese market)</t>
  </si>
  <si>
    <t>Total facilities (Taiwanese market)</t>
  </si>
  <si>
    <t>New facilities (Taiwanese market)</t>
  </si>
  <si>
    <t>New facilities (Korean pilot)</t>
  </si>
  <si>
    <t>New facilities (Japanese pilot)</t>
  </si>
  <si>
    <t>Korean Pilot</t>
  </si>
  <si>
    <t>Japanese Pilot</t>
  </si>
  <si>
    <t>Business Development Employee (Taiwanese Market)</t>
  </si>
  <si>
    <t>Business Development Employee (Korean Pilot)</t>
  </si>
  <si>
    <t>Business Development Employee (Japanese Pilot)</t>
  </si>
  <si>
    <t>Customer Support Employee  (Taiwanese Market)</t>
  </si>
  <si>
    <t>Customer Support Employee  (Korean Pilot)</t>
  </si>
  <si>
    <t>Customer Support Employee  (Japanese Pilot)</t>
  </si>
  <si>
    <t>(12) Marketing &amp; Campaigns expenses for Taiwanese Market is spent on 2 main expos annually (Medical Taiwan - Jun &amp; Care Expo Taipei - Sep). Each expo is expected to have US$ 4000. The budget for Taiwanese Market is raised 5% each year. Marketing &amp; Campaigns expenses for Korean &amp; Japanese Pilot is US$ 5000/ year/ each.</t>
  </si>
  <si>
    <t>(13) Travel and Entertainment for all markets is US$10000/ year. The budget is raised 5% each year.</t>
  </si>
  <si>
    <t>(8) NCC, RoHS, IP67. US$6500 Expense in each year of Y3 &amp; Y4 for Korean and Japanese Pilot.</t>
  </si>
  <si>
    <t xml:space="preserve">(3) Wristband cost: US$ = 40; Gateway cost: US$ = 120. Assume that the cost of the Hardware COSG is affected by 3% inflation every year. </t>
  </si>
  <si>
    <t>(2) Wristband: US$ =60; Gateway: US$ =325$. Assumed that each facility needs 3 Gateways. Installation Fee is included in the selling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</si>
</sst>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-* #,##0.0_-;\-* #,##0.0_-;_-* &quot;-&quot;??_-;_-@_-"/>
    <numFmt numFmtId="168" formatCode="[$$-409]#,##0.0"/>
    <numFmt numFmtId="169" formatCode="#,##0.0"/>
    <numFmt numFmtId="170" formatCode="#,##0.0_);\(#,##0.0\)"/>
    <numFmt numFmtId="171" formatCode="[$$-409]#,##0.0_);\([$$-409]#,##0.0\)"/>
    <numFmt numFmtId="172" formatCode="0.000%"/>
    <numFmt numFmtId="173" formatCode="[$$-409]#,##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4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5" fontId="4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5" fillId="0" borderId="0" xfId="0" applyFont="1" applyAlignment="1">
      <alignment horizontal="left" indent="1"/>
    </xf>
    <xf numFmtId="0" fontId="6" fillId="0" borderId="0" xfId="0" applyFont="1"/>
    <xf numFmtId="167" fontId="7" fillId="0" borderId="0" xfId="1" applyNumberFormat="1" applyFont="1"/>
    <xf numFmtId="0" fontId="6" fillId="0" borderId="1" xfId="0" applyFont="1" applyBorder="1"/>
    <xf numFmtId="165" fontId="6" fillId="0" borderId="0" xfId="0" applyNumberFormat="1" applyFont="1"/>
    <xf numFmtId="9" fontId="7" fillId="0" borderId="0" xfId="0" applyNumberFormat="1" applyFont="1"/>
    <xf numFmtId="0" fontId="8" fillId="0" borderId="0" xfId="0" applyFont="1"/>
    <xf numFmtId="166" fontId="8" fillId="0" borderId="0" xfId="2" applyNumberFormat="1" applyFont="1"/>
    <xf numFmtId="0" fontId="2" fillId="3" borderId="0" xfId="0" applyFont="1" applyFill="1"/>
    <xf numFmtId="17" fontId="3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left" indent="1"/>
    </xf>
    <xf numFmtId="0" fontId="5" fillId="0" borderId="2" xfId="0" applyFont="1" applyBorder="1" applyAlignment="1">
      <alignment horizontal="center"/>
    </xf>
    <xf numFmtId="0" fontId="12" fillId="0" borderId="0" xfId="4"/>
    <xf numFmtId="1" fontId="2" fillId="2" borderId="0" xfId="0" applyNumberFormat="1" applyFont="1" applyFill="1"/>
    <xf numFmtId="9" fontId="0" fillId="0" borderId="0" xfId="0" applyNumberFormat="1"/>
    <xf numFmtId="0" fontId="0" fillId="0" borderId="2" xfId="0" applyBorder="1"/>
    <xf numFmtId="9" fontId="4" fillId="0" borderId="0" xfId="0" applyNumberFormat="1" applyFont="1"/>
    <xf numFmtId="166" fontId="4" fillId="0" borderId="0" xfId="0" applyNumberFormat="1" applyFont="1"/>
    <xf numFmtId="0" fontId="0" fillId="0" borderId="0" xfId="0" applyAlignment="1">
      <alignment horizontal="left" vertical="top"/>
    </xf>
    <xf numFmtId="0" fontId="5" fillId="0" borderId="0" xfId="0" quotePrefix="1" applyFont="1"/>
    <xf numFmtId="168" fontId="7" fillId="0" borderId="0" xfId="0" applyNumberFormat="1" applyFont="1"/>
    <xf numFmtId="168" fontId="7" fillId="0" borderId="2" xfId="0" applyNumberFormat="1" applyFont="1" applyBorder="1"/>
    <xf numFmtId="168" fontId="6" fillId="0" borderId="0" xfId="0" applyNumberFormat="1" applyFont="1"/>
    <xf numFmtId="41" fontId="4" fillId="0" borderId="0" xfId="3" applyFont="1"/>
    <xf numFmtId="41" fontId="4" fillId="0" borderId="0" xfId="3" applyFont="1" applyAlignment="1">
      <alignment horizontal="left" indent="1"/>
    </xf>
    <xf numFmtId="0" fontId="6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166" fontId="8" fillId="0" borderId="0" xfId="2" applyNumberFormat="1" applyFont="1" applyFill="1" applyBorder="1"/>
    <xf numFmtId="0" fontId="2" fillId="7" borderId="0" xfId="0" applyFont="1" applyFill="1"/>
    <xf numFmtId="17" fontId="3" fillId="7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5" fillId="9" borderId="0" xfId="0" applyFont="1" applyFill="1"/>
    <xf numFmtId="166" fontId="13" fillId="0" borderId="0" xfId="0" applyNumberFormat="1" applyFont="1"/>
    <xf numFmtId="41" fontId="13" fillId="0" borderId="0" xfId="3" applyFont="1"/>
    <xf numFmtId="168" fontId="13" fillId="0" borderId="0" xfId="0" applyNumberFormat="1" applyFont="1"/>
    <xf numFmtId="169" fontId="13" fillId="0" borderId="0" xfId="0" applyNumberFormat="1" applyFont="1"/>
    <xf numFmtId="0" fontId="6" fillId="0" borderId="3" xfId="0" applyFont="1" applyBorder="1" applyAlignment="1">
      <alignment horizontal="left" indent="1"/>
    </xf>
    <xf numFmtId="0" fontId="6" fillId="0" borderId="3" xfId="0" applyFont="1" applyBorder="1" applyAlignment="1">
      <alignment horizontal="left"/>
    </xf>
    <xf numFmtId="165" fontId="13" fillId="0" borderId="3" xfId="0" applyNumberFormat="1" applyFont="1" applyBorder="1"/>
    <xf numFmtId="0" fontId="6" fillId="0" borderId="0" xfId="0" applyFont="1" applyAlignment="1">
      <alignment horizontal="left"/>
    </xf>
    <xf numFmtId="165" fontId="13" fillId="0" borderId="0" xfId="0" applyNumberFormat="1" applyFont="1"/>
    <xf numFmtId="168" fontId="6" fillId="0" borderId="3" xfId="0" applyNumberFormat="1" applyFont="1" applyBorder="1"/>
    <xf numFmtId="170" fontId="14" fillId="0" borderId="3" xfId="0" applyNumberFormat="1" applyFont="1" applyBorder="1"/>
    <xf numFmtId="170" fontId="13" fillId="0" borderId="0" xfId="3" applyNumberFormat="1" applyFont="1"/>
    <xf numFmtId="170" fontId="14" fillId="0" borderId="3" xfId="0" applyNumberFormat="1" applyFont="1" applyBorder="1" applyAlignment="1">
      <alignment horizontal="left" indent="17"/>
    </xf>
    <xf numFmtId="171" fontId="13" fillId="0" borderId="0" xfId="0" applyNumberFormat="1" applyFont="1"/>
    <xf numFmtId="171" fontId="6" fillId="0" borderId="3" xfId="0" applyNumberFormat="1" applyFont="1" applyBorder="1"/>
    <xf numFmtId="166" fontId="3" fillId="7" borderId="0" xfId="0" applyNumberFormat="1" applyFont="1" applyFill="1" applyAlignment="1">
      <alignment horizontal="right"/>
    </xf>
    <xf numFmtId="166" fontId="5" fillId="9" borderId="0" xfId="0" applyNumberFormat="1" applyFont="1" applyFill="1"/>
    <xf numFmtId="166" fontId="5" fillId="0" borderId="0" xfId="0" applyNumberFormat="1" applyFont="1"/>
    <xf numFmtId="166" fontId="14" fillId="0" borderId="3" xfId="0" applyNumberFormat="1" applyFont="1" applyBorder="1" applyAlignment="1">
      <alignment horizontal="left" indent="17"/>
    </xf>
    <xf numFmtId="166" fontId="14" fillId="0" borderId="3" xfId="0" applyNumberFormat="1" applyFont="1" applyBorder="1"/>
    <xf numFmtId="172" fontId="13" fillId="0" borderId="0" xfId="0" applyNumberFormat="1" applyFont="1"/>
    <xf numFmtId="0" fontId="2" fillId="10" borderId="0" xfId="0" applyFont="1" applyFill="1" applyAlignment="1">
      <alignment horizontal="center"/>
    </xf>
    <xf numFmtId="0" fontId="2" fillId="10" borderId="0" xfId="0" applyFont="1" applyFill="1"/>
    <xf numFmtId="1" fontId="2" fillId="10" borderId="0" xfId="0" applyNumberFormat="1" applyFont="1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17" fontId="3" fillId="11" borderId="0" xfId="0" applyNumberFormat="1" applyFont="1" applyFill="1" applyAlignment="1">
      <alignment horizontal="right"/>
    </xf>
    <xf numFmtId="0" fontId="6" fillId="12" borderId="0" xfId="0" applyFont="1" applyFill="1"/>
    <xf numFmtId="0" fontId="5" fillId="12" borderId="0" xfId="0" applyFont="1" applyFill="1" applyAlignment="1">
      <alignment horizontal="center"/>
    </xf>
    <xf numFmtId="0" fontId="5" fillId="12" borderId="0" xfId="0" applyFont="1" applyFill="1"/>
    <xf numFmtId="0" fontId="11" fillId="0" borderId="0" xfId="0" applyFont="1" applyAlignment="1">
      <alignment horizontal="left"/>
    </xf>
    <xf numFmtId="0" fontId="11" fillId="0" borderId="0" xfId="0" applyFont="1"/>
    <xf numFmtId="1" fontId="15" fillId="0" borderId="0" xfId="0" applyNumberFormat="1" applyFont="1"/>
    <xf numFmtId="0" fontId="15" fillId="0" borderId="0" xfId="0" applyFont="1"/>
    <xf numFmtId="1" fontId="15" fillId="0" borderId="0" xfId="3" applyNumberFormat="1" applyFont="1"/>
    <xf numFmtId="168" fontId="15" fillId="0" borderId="0" xfId="0" applyNumberFormat="1" applyFont="1"/>
    <xf numFmtId="0" fontId="6" fillId="0" borderId="3" xfId="0" applyFont="1" applyBorder="1" applyAlignment="1">
      <alignment horizontal="center"/>
    </xf>
    <xf numFmtId="1" fontId="16" fillId="0" borderId="3" xfId="3" applyNumberFormat="1" applyFont="1" applyBorder="1"/>
    <xf numFmtId="171" fontId="5" fillId="0" borderId="0" xfId="0" applyNumberFormat="1" applyFont="1"/>
    <xf numFmtId="171" fontId="6" fillId="0" borderId="1" xfId="0" applyNumberFormat="1" applyFont="1" applyBorder="1"/>
    <xf numFmtId="0" fontId="6" fillId="0" borderId="0" xfId="0" applyFont="1" applyAlignment="1">
      <alignment horizontal="left" indent="1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168" fontId="6" fillId="5" borderId="0" xfId="0" applyNumberFormat="1" applyFont="1" applyFill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center"/>
    </xf>
    <xf numFmtId="41" fontId="17" fillId="0" borderId="0" xfId="3" applyFont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168" fontId="15" fillId="0" borderId="3" xfId="0" applyNumberFormat="1" applyFont="1" applyBorder="1"/>
    <xf numFmtId="173" fontId="5" fillId="0" borderId="0" xfId="0" applyNumberFormat="1" applyFont="1" applyAlignment="1">
      <alignment horizontal="center"/>
    </xf>
    <xf numFmtId="173" fontId="5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168" fontId="5" fillId="0" borderId="0" xfId="0" applyNumberFormat="1" applyFont="1"/>
    <xf numFmtId="168" fontId="5" fillId="0" borderId="0" xfId="2" applyNumberFormat="1" applyFont="1" applyBorder="1"/>
    <xf numFmtId="171" fontId="6" fillId="0" borderId="0" xfId="0" applyNumberFormat="1" applyFont="1"/>
    <xf numFmtId="0" fontId="6" fillId="0" borderId="3" xfId="0" applyFont="1" applyBorder="1"/>
    <xf numFmtId="168" fontId="5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0" borderId="0" xfId="3" applyNumberFormat="1" applyFont="1" applyAlignment="1"/>
    <xf numFmtId="0" fontId="11" fillId="13" borderId="4" xfId="0" applyFont="1" applyFill="1" applyBorder="1" applyAlignment="1">
      <alignment horizontal="center"/>
    </xf>
    <xf numFmtId="168" fontId="0" fillId="0" borderId="0" xfId="0" applyNumberFormat="1"/>
    <xf numFmtId="0" fontId="11" fillId="5" borderId="5" xfId="0" applyFont="1" applyFill="1" applyBorder="1"/>
    <xf numFmtId="0" fontId="0" fillId="5" borderId="5" xfId="0" applyFill="1" applyBorder="1"/>
    <xf numFmtId="0" fontId="6" fillId="5" borderId="5" xfId="0" applyFont="1" applyFill="1" applyBorder="1"/>
    <xf numFmtId="0" fontId="6" fillId="5" borderId="5" xfId="0" applyFont="1" applyFill="1" applyBorder="1" applyAlignment="1">
      <alignment horizontal="center"/>
    </xf>
    <xf numFmtId="168" fontId="6" fillId="5" borderId="5" xfId="0" applyNumberFormat="1" applyFont="1" applyFill="1" applyBorder="1"/>
    <xf numFmtId="0" fontId="6" fillId="5" borderId="5" xfId="0" applyFont="1" applyFill="1" applyBorder="1" applyAlignment="1">
      <alignment horizontal="left"/>
    </xf>
    <xf numFmtId="0" fontId="5" fillId="5" borderId="5" xfId="0" applyFont="1" applyFill="1" applyBorder="1"/>
    <xf numFmtId="166" fontId="5" fillId="5" borderId="5" xfId="0" applyNumberFormat="1" applyFont="1" applyFill="1" applyBorder="1"/>
    <xf numFmtId="168" fontId="11" fillId="5" borderId="5" xfId="0" applyNumberFormat="1" applyFont="1" applyFill="1" applyBorder="1"/>
    <xf numFmtId="0" fontId="11" fillId="5" borderId="0" xfId="0" applyFont="1" applyFill="1"/>
    <xf numFmtId="9" fontId="11" fillId="5" borderId="0" xfId="0" applyNumberFormat="1" applyFont="1" applyFill="1"/>
    <xf numFmtId="0" fontId="11" fillId="4" borderId="0" xfId="0" applyFont="1" applyFill="1"/>
    <xf numFmtId="0" fontId="11" fillId="14" borderId="0" xfId="0" applyFont="1" applyFill="1"/>
    <xf numFmtId="0" fontId="5" fillId="0" borderId="0" xfId="0" applyFont="1" applyAlignment="1">
      <alignment horizontal="left" indent="2"/>
    </xf>
    <xf numFmtId="41" fontId="7" fillId="0" borderId="0" xfId="3" applyFont="1"/>
    <xf numFmtId="41" fontId="7" fillId="0" borderId="0" xfId="3" applyFont="1" applyAlignment="1">
      <alignment horizontal="left" indent="1"/>
    </xf>
    <xf numFmtId="1" fontId="7" fillId="0" borderId="0" xfId="0" applyNumberFormat="1" applyFont="1"/>
    <xf numFmtId="41" fontId="7" fillId="0" borderId="0" xfId="3" applyFont="1" applyAlignment="1">
      <alignment horizontal="left" indent="3"/>
    </xf>
    <xf numFmtId="0" fontId="17" fillId="0" borderId="0" xfId="3" applyNumberFormat="1" applyFont="1"/>
    <xf numFmtId="0" fontId="4" fillId="0" borderId="0" xfId="0" applyFont="1"/>
    <xf numFmtId="0" fontId="17" fillId="0" borderId="0" xfId="3" applyNumberFormat="1" applyFont="1" applyAlignment="1">
      <alignment horizontal="right"/>
    </xf>
    <xf numFmtId="0" fontId="7" fillId="0" borderId="0" xfId="3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/>
    <xf numFmtId="17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17" fillId="0" borderId="0" xfId="0" applyFont="1"/>
    <xf numFmtId="0" fontId="11" fillId="6" borderId="0" xfId="0" applyFont="1" applyFill="1" applyAlignment="1">
      <alignment horizontal="center"/>
    </xf>
    <xf numFmtId="41" fontId="0" fillId="0" borderId="0" xfId="3" applyFont="1"/>
    <xf numFmtId="41" fontId="15" fillId="0" borderId="0" xfId="3" applyFont="1"/>
    <xf numFmtId="41" fontId="4" fillId="0" borderId="0" xfId="3" applyFont="1" applyAlignment="1">
      <alignment horizontal="right"/>
    </xf>
    <xf numFmtId="41" fontId="19" fillId="0" borderId="0" xfId="3" applyFont="1"/>
    <xf numFmtId="41" fontId="5" fillId="0" borderId="0" xfId="3" applyFont="1" applyAlignment="1">
      <alignment horizontal="right"/>
    </xf>
    <xf numFmtId="0" fontId="2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2" fillId="0" borderId="0" xfId="4" applyAlignment="1">
      <alignment horizontal="left" vertical="top" wrapText="1"/>
    </xf>
  </cellXfs>
  <cellStyles count="5">
    <cellStyle name="Comma" xfId="1" builtinId="3"/>
    <cellStyle name="Comma [0]" xfId="3" builtinId="6"/>
    <cellStyle name="Hyperlink" xfId="4" builtinId="8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0000FF"/>
      <color rgb="FF293D68"/>
      <color rgb="FFFFFF99"/>
      <color rgb="FF0000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NPV: $1.583.968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'5-NPV IRR'!$F$2</c:f>
              <c:strCache>
                <c:ptCount val="1"/>
                <c:pt idx="0">
                  <c:v>NPV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'5-NPV IRR'!$B$3:$B$9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Total NPV</c:v>
                </c:pt>
              </c:strCache>
            </c:strRef>
          </c:cat>
          <c:val>
            <c:numRef>
              <c:f>'5-NPV IRR'!$F$3:$F$9</c:f>
              <c:numCache>
                <c:formatCode>[$$-409]#,##0.0</c:formatCode>
                <c:ptCount val="7"/>
                <c:pt idx="0">
                  <c:v>-400000</c:v>
                </c:pt>
                <c:pt idx="1">
                  <c:v>-126359.375</c:v>
                </c:pt>
                <c:pt idx="2">
                  <c:v>80011.526041666672</c:v>
                </c:pt>
                <c:pt idx="3">
                  <c:v>232347.48680419504</c:v>
                </c:pt>
                <c:pt idx="4">
                  <c:v>494584.67068504111</c:v>
                </c:pt>
                <c:pt idx="5">
                  <c:v>771071.47607707384</c:v>
                </c:pt>
                <c:pt idx="6">
                  <c:v>1051655.7846079767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6A-ED40-BD10-7098F12E32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2473279"/>
        <c:axId val="1324006912"/>
      </c:lineChart>
      <c:catAx>
        <c:axId val="1692473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24006912"/>
        <c:crosses val="autoZero"/>
        <c:auto val="1"/>
        <c:lblAlgn val="ctr"/>
        <c:lblOffset val="100"/>
        <c:noMultiLvlLbl val="0"/>
      </c:catAx>
      <c:valAx>
        <c:axId val="1324006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409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924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</xdr:row>
      <xdr:rowOff>203200</xdr:rowOff>
    </xdr:from>
    <xdr:to>
      <xdr:col>16</xdr:col>
      <xdr:colOff>127000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9DBBB-7205-E665-6ED1-6500C73A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oa.org/product-resources/medical-alert-systems/best-medical-alert-systems-with-fall-detection/?utm_source=chatgpt.com" TargetMode="External"/><Relationship Id="rId7" Type="http://schemas.openxmlformats.org/officeDocument/2006/relationships/hyperlink" Target="https://www.mhlw.go.jp/toukei/saikin/hw/kaigo/service24/dl/gaikyo.pdf?utm_source=chatgpt.com" TargetMode="External"/><Relationship Id="rId2" Type="http://schemas.openxmlformats.org/officeDocument/2006/relationships/hyperlink" Target="https://store.directsupply.com/Product/replacement-wristband-transmitter-tl-4005-door-systems-11023710?quantity=1" TargetMode="External"/><Relationship Id="rId1" Type="http://schemas.openxmlformats.org/officeDocument/2006/relationships/hyperlink" Target="https://stis.mohw.gov.tw/HWSDweb/common/CommonQuery.aspx?code=G&amp;id=69&amp;utm_source=chatgpt.com" TargetMode="External"/><Relationship Id="rId6" Type="http://schemas.openxmlformats.org/officeDocument/2006/relationships/hyperlink" Target="https://www.jkgn.org/journal/view.php?number=619&amp;utm_source=chatgpt.com" TargetMode="External"/><Relationship Id="rId5" Type="http://schemas.openxmlformats.org/officeDocument/2006/relationships/hyperlink" Target="https://nurse.mohw.gov.tw/mp-2.html" TargetMode="External"/><Relationship Id="rId4" Type="http://schemas.openxmlformats.org/officeDocument/2006/relationships/hyperlink" Target="https://www.aftygh.gov.tw/english-dep/nursing-home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dimension ref="B2:M74"/>
  <sheetViews>
    <sheetView showGridLines="0" tabSelected="1" zoomScale="131" zoomScaleNormal="100" workbookViewId="0">
      <pane ySplit="4" topLeftCell="A5" activePane="bottomLeft" state="frozenSplit"/>
      <selection pane="bottomLeft" activeCell="K55" sqref="K55"/>
    </sheetView>
  </sheetViews>
  <sheetFormatPr baseColWidth="10" defaultColWidth="10.83203125" defaultRowHeight="15" x14ac:dyDescent="0.2"/>
  <cols>
    <col min="1" max="1" width="5.5" style="5" customWidth="1"/>
    <col min="2" max="2" width="39.1640625" style="5" customWidth="1"/>
    <col min="3" max="3" width="4.5" style="19" customWidth="1"/>
    <col min="4" max="8" width="22.33203125" style="5" customWidth="1"/>
    <col min="9" max="12" width="10.83203125" style="5"/>
    <col min="13" max="13" width="10.83203125" style="5" customWidth="1"/>
    <col min="14" max="16384" width="10.83203125" style="5"/>
  </cols>
  <sheetData>
    <row r="2" spans="2:10" ht="16" customHeight="1" x14ac:dyDescent="0.2">
      <c r="B2" s="141" t="s">
        <v>14</v>
      </c>
      <c r="C2" s="141"/>
      <c r="D2" s="141"/>
      <c r="E2" s="141"/>
      <c r="F2" s="141"/>
      <c r="G2" s="141"/>
      <c r="H2" s="141"/>
    </row>
    <row r="3" spans="2:10" x14ac:dyDescent="0.2">
      <c r="B3" s="1"/>
      <c r="C3" s="2"/>
      <c r="D3" s="26">
        <v>2027</v>
      </c>
      <c r="E3" s="26">
        <v>2028</v>
      </c>
      <c r="F3" s="26">
        <v>2029</v>
      </c>
      <c r="G3" s="26">
        <v>2030</v>
      </c>
      <c r="H3" s="26">
        <v>2031</v>
      </c>
    </row>
    <row r="4" spans="2:10" x14ac:dyDescent="0.2">
      <c r="B4" s="15" t="s">
        <v>0</v>
      </c>
      <c r="C4" s="17" t="s">
        <v>11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J4" s="5" t="s">
        <v>44</v>
      </c>
    </row>
    <row r="5" spans="2:10" x14ac:dyDescent="0.2">
      <c r="B5" s="8" t="s">
        <v>36</v>
      </c>
    </row>
    <row r="6" spans="2:10" x14ac:dyDescent="0.2">
      <c r="B6" s="7" t="s">
        <v>162</v>
      </c>
      <c r="C6" s="19" t="s">
        <v>10</v>
      </c>
      <c r="D6" s="130">
        <v>1048</v>
      </c>
      <c r="E6" s="130">
        <f>INT(D6*1.02)</f>
        <v>1068</v>
      </c>
      <c r="F6" s="130">
        <f t="shared" ref="F6:H6" si="0">INT(E6*1.02)</f>
        <v>1089</v>
      </c>
      <c r="G6" s="130">
        <f t="shared" si="0"/>
        <v>1110</v>
      </c>
      <c r="H6" s="130">
        <f t="shared" si="0"/>
        <v>1132</v>
      </c>
      <c r="J6" s="32" t="s">
        <v>45</v>
      </c>
    </row>
    <row r="7" spans="2:10" x14ac:dyDescent="0.2">
      <c r="B7" s="7" t="s">
        <v>163</v>
      </c>
      <c r="C7" s="19" t="s">
        <v>12</v>
      </c>
      <c r="D7" s="30">
        <v>5.0000000000000001E-3</v>
      </c>
      <c r="E7" s="30">
        <v>1.4999999999999999E-2</v>
      </c>
      <c r="F7" s="30">
        <v>3.5000000000000003E-2</v>
      </c>
      <c r="G7" s="30">
        <v>6.5000000000000002E-2</v>
      </c>
      <c r="H7" s="30">
        <v>0.1</v>
      </c>
    </row>
    <row r="8" spans="2:10" x14ac:dyDescent="0.2">
      <c r="B8" s="121" t="s">
        <v>164</v>
      </c>
      <c r="C8" s="19" t="s">
        <v>10</v>
      </c>
      <c r="D8" s="127">
        <f>INT(D6*D7)</f>
        <v>5</v>
      </c>
      <c r="E8" s="127">
        <f t="shared" ref="E8:H8" si="1">INT(E6*E7)</f>
        <v>16</v>
      </c>
      <c r="F8" s="127">
        <f t="shared" si="1"/>
        <v>38</v>
      </c>
      <c r="G8" s="127">
        <f t="shared" si="1"/>
        <v>72</v>
      </c>
      <c r="H8" s="127">
        <f t="shared" si="1"/>
        <v>113</v>
      </c>
    </row>
    <row r="9" spans="2:10" x14ac:dyDescent="0.2">
      <c r="B9" s="121" t="s">
        <v>160</v>
      </c>
      <c r="C9" s="19" t="s">
        <v>10</v>
      </c>
      <c r="D9" s="36">
        <v>0</v>
      </c>
      <c r="E9" s="36">
        <v>0</v>
      </c>
      <c r="F9" s="127">
        <v>5</v>
      </c>
      <c r="G9" s="127">
        <v>15</v>
      </c>
      <c r="H9" s="127">
        <v>25</v>
      </c>
    </row>
    <row r="10" spans="2:10" x14ac:dyDescent="0.2">
      <c r="B10" s="121" t="s">
        <v>161</v>
      </c>
      <c r="C10" s="19" t="s">
        <v>10</v>
      </c>
      <c r="D10" s="36">
        <v>0</v>
      </c>
      <c r="E10" s="36">
        <v>0</v>
      </c>
      <c r="F10" s="127">
        <v>0</v>
      </c>
      <c r="G10" s="127">
        <v>5</v>
      </c>
      <c r="H10" s="127">
        <v>10</v>
      </c>
    </row>
    <row r="11" spans="2:10" x14ac:dyDescent="0.2">
      <c r="B11" s="90" t="s">
        <v>48</v>
      </c>
      <c r="C11" s="91" t="s">
        <v>10</v>
      </c>
      <c r="D11" s="134">
        <f>SUM(D8:D10)</f>
        <v>5</v>
      </c>
      <c r="E11" s="134">
        <f t="shared" ref="E11:H11" si="2">SUM(E8:E10)</f>
        <v>16</v>
      </c>
      <c r="F11" s="134">
        <f t="shared" si="2"/>
        <v>43</v>
      </c>
      <c r="G11" s="134">
        <f t="shared" si="2"/>
        <v>92</v>
      </c>
      <c r="H11" s="134">
        <f t="shared" si="2"/>
        <v>148</v>
      </c>
    </row>
    <row r="12" spans="2:10" x14ac:dyDescent="0.2">
      <c r="B12" s="121" t="s">
        <v>165</v>
      </c>
      <c r="C12" s="19" t="s">
        <v>10</v>
      </c>
      <c r="D12" s="127">
        <f>D8</f>
        <v>5</v>
      </c>
      <c r="E12" s="127">
        <f>E8-D8</f>
        <v>11</v>
      </c>
      <c r="F12" s="127">
        <f t="shared" ref="F12:H12" si="3">F8-E8</f>
        <v>22</v>
      </c>
      <c r="G12" s="127">
        <f t="shared" si="3"/>
        <v>34</v>
      </c>
      <c r="H12" s="127">
        <f t="shared" si="3"/>
        <v>41</v>
      </c>
    </row>
    <row r="13" spans="2:10" x14ac:dyDescent="0.2">
      <c r="B13" s="121" t="s">
        <v>166</v>
      </c>
      <c r="C13" s="19" t="s">
        <v>10</v>
      </c>
      <c r="D13" s="36">
        <v>0</v>
      </c>
      <c r="E13" s="36">
        <v>0</v>
      </c>
      <c r="F13" s="127">
        <v>5</v>
      </c>
      <c r="G13" s="127">
        <f>G9-F9</f>
        <v>10</v>
      </c>
      <c r="H13" s="127">
        <f>H9-G9</f>
        <v>10</v>
      </c>
    </row>
    <row r="14" spans="2:10" x14ac:dyDescent="0.2">
      <c r="B14" s="121" t="s">
        <v>167</v>
      </c>
      <c r="C14" s="19" t="s">
        <v>10</v>
      </c>
      <c r="D14" s="36">
        <v>0</v>
      </c>
      <c r="E14" s="36">
        <v>0</v>
      </c>
      <c r="F14" s="127">
        <v>0</v>
      </c>
      <c r="G14" s="127">
        <v>5</v>
      </c>
      <c r="H14" s="127">
        <f>H10-G10</f>
        <v>5</v>
      </c>
    </row>
    <row r="15" spans="2:10" x14ac:dyDescent="0.2">
      <c r="B15" s="90" t="s">
        <v>50</v>
      </c>
      <c r="C15" s="91" t="s">
        <v>10</v>
      </c>
      <c r="D15" s="134">
        <f>SUM(D12:D14)</f>
        <v>5</v>
      </c>
      <c r="E15" s="134">
        <f t="shared" ref="E15:H15" si="4">SUM(E12:E14)</f>
        <v>11</v>
      </c>
      <c r="F15" s="134">
        <f t="shared" si="4"/>
        <v>27</v>
      </c>
      <c r="G15" s="134">
        <f t="shared" si="4"/>
        <v>49</v>
      </c>
      <c r="H15" s="134">
        <f t="shared" si="4"/>
        <v>56</v>
      </c>
    </row>
    <row r="16" spans="2:10" x14ac:dyDescent="0.2">
      <c r="B16" s="7" t="s">
        <v>49</v>
      </c>
      <c r="C16" s="19" t="s">
        <v>12</v>
      </c>
      <c r="D16" s="36">
        <v>0</v>
      </c>
      <c r="E16" s="37">
        <v>0</v>
      </c>
      <c r="F16" s="29">
        <v>0.05</v>
      </c>
      <c r="G16" s="29">
        <v>0.05</v>
      </c>
      <c r="H16" s="29">
        <v>0.05</v>
      </c>
    </row>
    <row r="17" spans="2:10" x14ac:dyDescent="0.2">
      <c r="B17" s="121" t="s">
        <v>152</v>
      </c>
      <c r="C17" s="19" t="s">
        <v>10</v>
      </c>
      <c r="D17" s="129">
        <f>INT(D11)</f>
        <v>5</v>
      </c>
      <c r="E17" s="125">
        <f>INT(E11)</f>
        <v>16</v>
      </c>
      <c r="F17" s="129">
        <f>INT(F12+E17*(1-F16))</f>
        <v>37</v>
      </c>
      <c r="G17" s="129">
        <f t="shared" ref="G17:H17" si="5">INT(G12+F17*(1-G16))</f>
        <v>69</v>
      </c>
      <c r="H17" s="129">
        <f t="shared" si="5"/>
        <v>106</v>
      </c>
    </row>
    <row r="18" spans="2:10" x14ac:dyDescent="0.2">
      <c r="B18" s="121" t="s">
        <v>153</v>
      </c>
      <c r="C18" s="19" t="s">
        <v>10</v>
      </c>
      <c r="D18" s="122">
        <v>0</v>
      </c>
      <c r="E18" s="123">
        <v>0</v>
      </c>
      <c r="F18" s="124">
        <f>5</f>
        <v>5</v>
      </c>
      <c r="G18" s="124">
        <v>15</v>
      </c>
      <c r="H18" s="124">
        <v>25</v>
      </c>
    </row>
    <row r="19" spans="2:10" x14ac:dyDescent="0.2">
      <c r="B19" s="121" t="s">
        <v>154</v>
      </c>
      <c r="C19" s="19" t="s">
        <v>10</v>
      </c>
      <c r="D19" s="122">
        <v>0</v>
      </c>
      <c r="E19" s="123">
        <v>0</v>
      </c>
      <c r="F19" s="124">
        <v>0</v>
      </c>
      <c r="G19" s="124">
        <v>5</v>
      </c>
      <c r="H19" s="124">
        <v>10</v>
      </c>
    </row>
    <row r="20" spans="2:10" x14ac:dyDescent="0.2">
      <c r="B20" s="90" t="s">
        <v>75</v>
      </c>
      <c r="C20" s="91" t="s">
        <v>10</v>
      </c>
      <c r="D20" s="92">
        <f>SUM(D17:D19)</f>
        <v>5</v>
      </c>
      <c r="E20" s="92">
        <f>SUM(E17:E19)</f>
        <v>16</v>
      </c>
      <c r="F20" s="128">
        <f t="shared" ref="F20:H20" si="6">SUM(F17:F19)</f>
        <v>42</v>
      </c>
      <c r="G20" s="126">
        <f t="shared" si="6"/>
        <v>89</v>
      </c>
      <c r="H20" s="126">
        <f t="shared" si="6"/>
        <v>141</v>
      </c>
    </row>
    <row r="21" spans="2:10" x14ac:dyDescent="0.2">
      <c r="B21" s="7" t="s">
        <v>37</v>
      </c>
      <c r="C21" s="19" t="s">
        <v>10</v>
      </c>
      <c r="D21" s="3">
        <v>48</v>
      </c>
      <c r="E21" s="3">
        <v>48</v>
      </c>
      <c r="F21" s="127">
        <v>48</v>
      </c>
      <c r="G21" s="127">
        <v>48</v>
      </c>
      <c r="H21" s="127">
        <v>48</v>
      </c>
    </row>
    <row r="22" spans="2:10" x14ac:dyDescent="0.2">
      <c r="B22" s="7"/>
      <c r="D22" s="3"/>
      <c r="E22" s="3"/>
      <c r="F22" s="3"/>
      <c r="G22" s="3"/>
      <c r="H22" s="3"/>
    </row>
    <row r="23" spans="2:10" x14ac:dyDescent="0.2">
      <c r="B23" s="38" t="s">
        <v>2</v>
      </c>
      <c r="C23" s="39"/>
      <c r="D23" s="40"/>
      <c r="E23" s="40"/>
      <c r="F23" s="40"/>
      <c r="G23" s="40"/>
      <c r="H23" s="40"/>
    </row>
    <row r="24" spans="2:10" x14ac:dyDescent="0.2">
      <c r="B24" s="7" t="s">
        <v>35</v>
      </c>
      <c r="C24" s="19" t="s">
        <v>13</v>
      </c>
      <c r="D24" s="33">
        <f>(60*D21+325*3)*D15</f>
        <v>19275</v>
      </c>
      <c r="E24" s="33">
        <f>(60*E21+325*3)*E15</f>
        <v>42405</v>
      </c>
      <c r="F24" s="33">
        <f>(60*F21+325*3)*F15</f>
        <v>104085</v>
      </c>
      <c r="G24" s="33">
        <f>(60*G21+325*3)*G15</f>
        <v>188895</v>
      </c>
      <c r="H24" s="33">
        <f>(60*H21+325*3)*H15</f>
        <v>215880</v>
      </c>
      <c r="J24" s="32" t="s">
        <v>180</v>
      </c>
    </row>
    <row r="25" spans="2:10" x14ac:dyDescent="0.2">
      <c r="B25" s="23" t="s">
        <v>47</v>
      </c>
      <c r="C25" s="24" t="s">
        <v>13</v>
      </c>
      <c r="D25" s="34">
        <f>'2-Monthly Service Revenue'!G20</f>
        <v>73125</v>
      </c>
      <c r="E25" s="34">
        <f>'2-Monthly Service Revenue'!G36</f>
        <v>295875</v>
      </c>
      <c r="F25" s="34">
        <f>'2-Monthly Service Revenue'!G52+'2-Monthly Service Revenue'!G103</f>
        <v>815083.31728441629</v>
      </c>
      <c r="G25" s="34">
        <f>'2-Monthly Service Revenue'!G68+'2-Monthly Service Revenue'!G119</f>
        <v>1828609.3376862686</v>
      </c>
      <c r="H25" s="34">
        <f>'2-Monthly Service Revenue'!G84+'2-Monthly Service Revenue'!G135</f>
        <v>3180077.7950313413</v>
      </c>
    </row>
    <row r="26" spans="2:10" x14ac:dyDescent="0.2">
      <c r="B26" s="87" t="s">
        <v>46</v>
      </c>
      <c r="C26" s="88" t="s">
        <v>13</v>
      </c>
      <c r="D26" s="89">
        <f>SUM(D24:D25)</f>
        <v>92400</v>
      </c>
      <c r="E26" s="89">
        <f>SUM(E24:E25)</f>
        <v>338280</v>
      </c>
      <c r="F26" s="89">
        <f>SUM(F24:F25)</f>
        <v>919168.31728441629</v>
      </c>
      <c r="G26" s="89">
        <f>SUM(G24:G25)</f>
        <v>2017504.3376862686</v>
      </c>
      <c r="H26" s="89">
        <f>SUM(H24:H25)</f>
        <v>3395957.7950313413</v>
      </c>
    </row>
    <row r="27" spans="2:10" x14ac:dyDescent="0.2">
      <c r="B27" s="8"/>
      <c r="C27" s="20"/>
      <c r="D27" s="35"/>
      <c r="E27" s="35"/>
      <c r="F27" s="35"/>
      <c r="G27" s="35"/>
      <c r="H27" s="35"/>
    </row>
    <row r="28" spans="2:10" x14ac:dyDescent="0.2">
      <c r="B28" s="6" t="s">
        <v>102</v>
      </c>
      <c r="C28" s="18"/>
      <c r="D28" s="6"/>
      <c r="E28" s="6"/>
      <c r="F28" s="6"/>
      <c r="G28" s="6"/>
      <c r="H28" s="6"/>
    </row>
    <row r="29" spans="2:10" x14ac:dyDescent="0.2">
      <c r="B29" s="8" t="s">
        <v>3</v>
      </c>
      <c r="C29" s="20"/>
      <c r="D29" s="8"/>
      <c r="E29" s="8"/>
      <c r="F29" s="8"/>
      <c r="G29" s="8"/>
      <c r="H29" s="8"/>
    </row>
    <row r="30" spans="2:10" x14ac:dyDescent="0.2">
      <c r="B30" s="7" t="s">
        <v>76</v>
      </c>
      <c r="C30" s="19" t="s">
        <v>13</v>
      </c>
      <c r="D30" s="9">
        <f>40*D21+120*3</f>
        <v>2280</v>
      </c>
      <c r="E30" s="9">
        <f>D30*103%</f>
        <v>2348.4</v>
      </c>
      <c r="F30" s="9">
        <f t="shared" ref="F30:H30" si="7">E30*103%</f>
        <v>2418.8520000000003</v>
      </c>
      <c r="G30" s="9">
        <f t="shared" si="7"/>
        <v>2491.4175600000003</v>
      </c>
      <c r="H30" s="9">
        <f t="shared" si="7"/>
        <v>2566.1600868000005</v>
      </c>
      <c r="J30" s="5" t="s">
        <v>179</v>
      </c>
    </row>
    <row r="31" spans="2:10" x14ac:dyDescent="0.2">
      <c r="B31" s="7" t="s">
        <v>101</v>
      </c>
      <c r="C31" s="19" t="s">
        <v>13</v>
      </c>
      <c r="D31" s="9">
        <v>300</v>
      </c>
      <c r="E31" s="9">
        <f>D31*103%</f>
        <v>309</v>
      </c>
      <c r="F31" s="9">
        <f t="shared" ref="F31:H31" si="8">E31*103%</f>
        <v>318.27</v>
      </c>
      <c r="G31" s="9">
        <f t="shared" si="8"/>
        <v>327.81810000000002</v>
      </c>
      <c r="H31" s="9">
        <f t="shared" si="8"/>
        <v>337.65264300000001</v>
      </c>
      <c r="J31" s="5" t="s">
        <v>77</v>
      </c>
    </row>
    <row r="32" spans="2:10" x14ac:dyDescent="0.2">
      <c r="B32" s="7" t="s">
        <v>148</v>
      </c>
      <c r="C32" s="19" t="s">
        <v>13</v>
      </c>
      <c r="D32" s="9">
        <f>D24*5%</f>
        <v>963.75</v>
      </c>
      <c r="E32" s="9">
        <f>D32*103%</f>
        <v>992.66250000000002</v>
      </c>
      <c r="F32" s="9">
        <f t="shared" ref="F32:H33" si="9">E32*103%</f>
        <v>1022.4423750000001</v>
      </c>
      <c r="G32" s="9">
        <f t="shared" si="9"/>
        <v>1053.1156462500001</v>
      </c>
      <c r="H32" s="9">
        <f t="shared" si="9"/>
        <v>1084.7091156375002</v>
      </c>
      <c r="J32" s="5" t="s">
        <v>96</v>
      </c>
    </row>
    <row r="33" spans="2:13" x14ac:dyDescent="0.2">
      <c r="B33" s="7" t="s">
        <v>95</v>
      </c>
      <c r="C33" s="19" t="s">
        <v>13</v>
      </c>
      <c r="D33" s="9">
        <f>0.5*12</f>
        <v>6</v>
      </c>
      <c r="E33" s="9">
        <f>D33*103%</f>
        <v>6.18</v>
      </c>
      <c r="F33" s="9">
        <f t="shared" si="9"/>
        <v>6.3654000000000002</v>
      </c>
      <c r="G33" s="9">
        <f t="shared" si="9"/>
        <v>6.556362</v>
      </c>
      <c r="H33" s="9">
        <f t="shared" si="9"/>
        <v>6.7530528600000004</v>
      </c>
      <c r="J33" s="5" t="s">
        <v>97</v>
      </c>
    </row>
    <row r="34" spans="2:13" x14ac:dyDescent="0.2">
      <c r="B34" s="8" t="s">
        <v>4</v>
      </c>
      <c r="C34" s="20"/>
    </row>
    <row r="35" spans="2:13" x14ac:dyDescent="0.2">
      <c r="B35" s="7" t="s">
        <v>110</v>
      </c>
      <c r="C35" s="19" t="s">
        <v>13</v>
      </c>
      <c r="D35" s="104">
        <v>60000</v>
      </c>
      <c r="E35" s="105">
        <f>2%*E26</f>
        <v>6765.6</v>
      </c>
      <c r="F35" s="105">
        <f t="shared" ref="F35:H35" si="10">2%*F26</f>
        <v>18383.366345688326</v>
      </c>
      <c r="G35" s="105">
        <f t="shared" si="10"/>
        <v>40350.086753725373</v>
      </c>
      <c r="H35" s="105">
        <f t="shared" si="10"/>
        <v>67919.155900626822</v>
      </c>
      <c r="J35" s="5" t="s">
        <v>111</v>
      </c>
    </row>
    <row r="36" spans="2:13" x14ac:dyDescent="0.2">
      <c r="B36" s="7" t="s">
        <v>78</v>
      </c>
      <c r="C36" s="19" t="s">
        <v>13</v>
      </c>
      <c r="D36" s="104">
        <v>6500</v>
      </c>
      <c r="E36" s="138">
        <v>0</v>
      </c>
      <c r="F36" s="104">
        <v>6500</v>
      </c>
      <c r="G36" s="104">
        <v>6500</v>
      </c>
      <c r="H36" s="138">
        <v>0</v>
      </c>
      <c r="J36" s="5" t="s">
        <v>178</v>
      </c>
    </row>
    <row r="37" spans="2:13" x14ac:dyDescent="0.2">
      <c r="B37" s="7" t="s">
        <v>89</v>
      </c>
      <c r="C37" s="19" t="s">
        <v>13</v>
      </c>
      <c r="D37" s="104">
        <f>'3-Human Resource'!E28</f>
        <v>121927.5</v>
      </c>
      <c r="E37" s="104">
        <f>'3-Human Resource'!F28</f>
        <v>127840.5</v>
      </c>
      <c r="F37" s="104">
        <f>'3-Human Resource'!G28</f>
        <v>203788.5</v>
      </c>
      <c r="G37" s="104">
        <f>'3-Human Resource'!H28</f>
        <v>317913</v>
      </c>
      <c r="H37" s="104">
        <f>'3-Human Resource'!I28</f>
        <v>362862.67499999999</v>
      </c>
      <c r="J37" s="5" t="s">
        <v>88</v>
      </c>
    </row>
    <row r="38" spans="2:13" x14ac:dyDescent="0.2">
      <c r="B38" s="7" t="s">
        <v>91</v>
      </c>
      <c r="C38" s="19" t="s">
        <v>13</v>
      </c>
      <c r="D38" s="104">
        <f>250*'3-Human Resource'!E17*12</f>
        <v>15000</v>
      </c>
      <c r="E38" s="104">
        <f>250*'3-Human Resource'!F17*12</f>
        <v>15000</v>
      </c>
      <c r="F38" s="104">
        <f>250*'3-Human Resource'!G17*12</f>
        <v>27000</v>
      </c>
      <c r="G38" s="104">
        <f>250*'3-Human Resource'!H17*12</f>
        <v>42000</v>
      </c>
      <c r="H38" s="104">
        <f>250*'3-Human Resource'!I17*12</f>
        <v>48000</v>
      </c>
      <c r="J38" s="5" t="s">
        <v>92</v>
      </c>
    </row>
    <row r="39" spans="2:13" x14ac:dyDescent="0.2">
      <c r="B39" s="7" t="s">
        <v>122</v>
      </c>
      <c r="C39" s="19" t="s">
        <v>13</v>
      </c>
      <c r="D39" s="104">
        <f>1500*'3-Human Resource'!E17+5000</f>
        <v>12500</v>
      </c>
      <c r="E39" s="104">
        <f>1500*('3-Human Resource'!F17-'3-Human Resource'!E17)+5000</f>
        <v>5000</v>
      </c>
      <c r="F39" s="104">
        <f>1500*('3-Human Resource'!G17-'3-Human Resource'!F17)+5000</f>
        <v>11000</v>
      </c>
      <c r="G39" s="104">
        <f>1500*('3-Human Resource'!H17-'3-Human Resource'!G17)+5000</f>
        <v>12500</v>
      </c>
      <c r="H39" s="104">
        <f>1500*('3-Human Resource'!I17-'3-Human Resource'!H17)+5000</f>
        <v>8000</v>
      </c>
      <c r="J39" s="5" t="s">
        <v>93</v>
      </c>
    </row>
    <row r="40" spans="2:13" x14ac:dyDescent="0.2">
      <c r="B40" s="7" t="s">
        <v>94</v>
      </c>
      <c r="C40" s="19" t="s">
        <v>13</v>
      </c>
      <c r="D40" s="104">
        <v>8000</v>
      </c>
      <c r="E40" s="104">
        <f>D40*105%</f>
        <v>8400</v>
      </c>
      <c r="F40" s="104">
        <f>E40*105%+5000</f>
        <v>13820</v>
      </c>
      <c r="G40" s="104">
        <f>F40*105%+5000*2</f>
        <v>24511</v>
      </c>
      <c r="H40" s="104">
        <f>G40*105%+5000*2</f>
        <v>35736.550000000003</v>
      </c>
      <c r="J40" s="5" t="s">
        <v>176</v>
      </c>
    </row>
    <row r="41" spans="2:13" x14ac:dyDescent="0.2">
      <c r="B41" s="7" t="s">
        <v>114</v>
      </c>
      <c r="C41" s="19" t="s">
        <v>13</v>
      </c>
      <c r="D41" s="104">
        <v>10000</v>
      </c>
      <c r="E41" s="104">
        <f>D41*105%</f>
        <v>10500</v>
      </c>
      <c r="F41" s="104">
        <f t="shared" ref="F41:H41" si="11">E41*105%</f>
        <v>11025</v>
      </c>
      <c r="G41" s="104">
        <f t="shared" si="11"/>
        <v>11576.25</v>
      </c>
      <c r="H41" s="104">
        <f t="shared" si="11"/>
        <v>12155.0625</v>
      </c>
      <c r="J41" s="5" t="s">
        <v>177</v>
      </c>
    </row>
    <row r="42" spans="2:13" x14ac:dyDescent="0.2">
      <c r="B42" s="8"/>
      <c r="C42" s="20"/>
      <c r="D42" s="11"/>
      <c r="E42" s="11"/>
      <c r="F42" s="11"/>
      <c r="G42" s="11"/>
      <c r="H42" s="11"/>
    </row>
    <row r="43" spans="2:13" x14ac:dyDescent="0.2">
      <c r="B43" s="5" t="s">
        <v>9</v>
      </c>
      <c r="C43" s="19" t="s">
        <v>12</v>
      </c>
      <c r="D43" s="12">
        <v>0.2</v>
      </c>
      <c r="E43" s="12">
        <v>0.2</v>
      </c>
      <c r="F43" s="12">
        <v>0.2</v>
      </c>
      <c r="G43" s="12">
        <v>0.2</v>
      </c>
      <c r="H43" s="12">
        <v>0.2</v>
      </c>
    </row>
    <row r="45" spans="2:13" x14ac:dyDescent="0.2">
      <c r="B45" s="1" t="s">
        <v>98</v>
      </c>
      <c r="C45" s="2"/>
      <c r="D45" s="1"/>
      <c r="E45" s="1"/>
      <c r="F45" s="1"/>
      <c r="G45" s="1"/>
      <c r="H45" s="1"/>
    </row>
    <row r="46" spans="2:13" x14ac:dyDescent="0.2">
      <c r="B46" s="8" t="s">
        <v>6</v>
      </c>
      <c r="C46" s="20" t="s">
        <v>13</v>
      </c>
      <c r="D46" s="101">
        <f>D26</f>
        <v>92400</v>
      </c>
      <c r="E46" s="101">
        <f t="shared" ref="E46:H46" si="12">E26</f>
        <v>338280</v>
      </c>
      <c r="F46" s="101">
        <f t="shared" si="12"/>
        <v>919168.31728441629</v>
      </c>
      <c r="G46" s="101">
        <f t="shared" si="12"/>
        <v>2017504.3376862686</v>
      </c>
      <c r="H46" s="101">
        <f t="shared" si="12"/>
        <v>3395957.7950313413</v>
      </c>
    </row>
    <row r="47" spans="2:13" x14ac:dyDescent="0.2">
      <c r="B47" s="5" t="s">
        <v>1</v>
      </c>
      <c r="C47" s="19" t="s">
        <v>13</v>
      </c>
      <c r="D47" s="84">
        <f>(D30*D20)+(D31*D20)+(D32)+(D33*D21*D20)</f>
        <v>15303.75</v>
      </c>
      <c r="E47" s="84">
        <f>E30*E20+E31*E20+E32+E33*E21*E20</f>
        <v>48257.302499999998</v>
      </c>
      <c r="F47" s="84">
        <f>F30*F20+F31*F20+F32+F33*F21*F20</f>
        <v>128814.21277500001</v>
      </c>
      <c r="G47" s="84">
        <f>G30*G20+G31*G20+G32+G33*G21*G20</f>
        <v>279973.86785025004</v>
      </c>
      <c r="H47" s="84">
        <f>H30*H20+H31*H20+H32+H33*H21*H20</f>
        <v>456226.96577391756</v>
      </c>
    </row>
    <row r="48" spans="2:13" x14ac:dyDescent="0.2">
      <c r="B48" s="10" t="s">
        <v>7</v>
      </c>
      <c r="C48" s="21" t="s">
        <v>13</v>
      </c>
      <c r="D48" s="85">
        <f>D46-D47</f>
        <v>77096.25</v>
      </c>
      <c r="E48" s="85">
        <f t="shared" ref="E48:H48" si="13">E46-E47</f>
        <v>290022.69750000001</v>
      </c>
      <c r="F48" s="85">
        <f t="shared" si="13"/>
        <v>790354.10450941627</v>
      </c>
      <c r="G48" s="85">
        <f t="shared" si="13"/>
        <v>1737530.4698360185</v>
      </c>
      <c r="H48" s="85">
        <f t="shared" si="13"/>
        <v>2939730.8292574235</v>
      </c>
      <c r="I48" s="84"/>
      <c r="J48" s="84"/>
      <c r="K48" s="84"/>
      <c r="L48" s="84"/>
      <c r="M48" s="84"/>
    </row>
    <row r="49" spans="2:8" x14ac:dyDescent="0.2">
      <c r="B49" s="13" t="s">
        <v>8</v>
      </c>
      <c r="C49" s="19" t="s">
        <v>12</v>
      </c>
      <c r="D49" s="14">
        <f>D48/D46</f>
        <v>0.83437499999999998</v>
      </c>
      <c r="E49" s="14">
        <f t="shared" ref="E49:H49" si="14">E48/E46</f>
        <v>0.85734509134444836</v>
      </c>
      <c r="F49" s="14">
        <f t="shared" si="14"/>
        <v>0.85985786242549378</v>
      </c>
      <c r="G49" s="14">
        <f t="shared" si="14"/>
        <v>0.86122762532876029</v>
      </c>
      <c r="H49" s="14">
        <f t="shared" si="14"/>
        <v>0.86565587875048744</v>
      </c>
    </row>
    <row r="51" spans="2:8" x14ac:dyDescent="0.2">
      <c r="B51" s="8" t="s">
        <v>99</v>
      </c>
      <c r="C51" s="20"/>
    </row>
    <row r="52" spans="2:8" x14ac:dyDescent="0.2">
      <c r="B52" s="86" t="s">
        <v>116</v>
      </c>
      <c r="C52" s="98" t="s">
        <v>13</v>
      </c>
      <c r="D52" s="4"/>
      <c r="E52" s="4"/>
      <c r="F52" s="4"/>
      <c r="G52" s="4"/>
      <c r="H52" s="4"/>
    </row>
    <row r="53" spans="2:8" x14ac:dyDescent="0.2">
      <c r="B53" s="7" t="s">
        <v>103</v>
      </c>
      <c r="C53" s="22" t="s">
        <v>13</v>
      </c>
      <c r="D53" s="99">
        <f>'3-Human Resource'!E20+'3-Human Resource'!E21</f>
        <v>72000</v>
      </c>
      <c r="E53" s="99">
        <f>'3-Human Resource'!F20+'3-Human Resource'!F21</f>
        <v>75600</v>
      </c>
      <c r="F53" s="99">
        <f>'3-Human Resource'!G20+'3-Human Resource'!G21</f>
        <v>79380</v>
      </c>
      <c r="G53" s="99">
        <f>'3-Human Resource'!H20+'3-Human Resource'!H21</f>
        <v>125023.5</v>
      </c>
      <c r="H53" s="99">
        <f>'3-Human Resource'!I20+'3-Human Resource'!I21</f>
        <v>131274.67499999999</v>
      </c>
    </row>
    <row r="54" spans="2:8" x14ac:dyDescent="0.2">
      <c r="B54" s="7" t="s">
        <v>112</v>
      </c>
      <c r="C54" s="19" t="s">
        <v>13</v>
      </c>
      <c r="D54" s="99">
        <f>D35</f>
        <v>60000</v>
      </c>
      <c r="E54" s="99">
        <f t="shared" ref="E54:H54" si="15">E35</f>
        <v>6765.6</v>
      </c>
      <c r="F54" s="99">
        <f t="shared" si="15"/>
        <v>18383.366345688326</v>
      </c>
      <c r="G54" s="99">
        <f t="shared" si="15"/>
        <v>40350.086753725373</v>
      </c>
      <c r="H54" s="99">
        <f t="shared" si="15"/>
        <v>67919.155900626822</v>
      </c>
    </row>
    <row r="55" spans="2:8" x14ac:dyDescent="0.2">
      <c r="B55" s="86" t="s">
        <v>117</v>
      </c>
      <c r="C55" s="20" t="s">
        <v>13</v>
      </c>
      <c r="D55" s="35"/>
      <c r="E55" s="35"/>
      <c r="F55" s="35"/>
      <c r="G55" s="35"/>
      <c r="H55" s="35"/>
    </row>
    <row r="56" spans="2:8" x14ac:dyDescent="0.2">
      <c r="B56" s="7" t="s">
        <v>121</v>
      </c>
      <c r="C56" s="19" t="s">
        <v>13</v>
      </c>
      <c r="D56" s="100">
        <f>'3-Human Resource'!E23</f>
        <v>36000</v>
      </c>
      <c r="E56" s="100">
        <f>'3-Human Resource'!F23</f>
        <v>36000</v>
      </c>
      <c r="F56" s="100">
        <f>'3-Human Resource'!G23</f>
        <v>90000</v>
      </c>
      <c r="G56" s="100">
        <f>'3-Human Resource'!H23</f>
        <v>126000</v>
      </c>
      <c r="H56" s="100">
        <f>'3-Human Resource'!I23</f>
        <v>162000</v>
      </c>
    </row>
    <row r="57" spans="2:8" x14ac:dyDescent="0.2">
      <c r="B57" s="7" t="s">
        <v>113</v>
      </c>
      <c r="C57" s="19" t="s">
        <v>13</v>
      </c>
      <c r="D57" s="99">
        <f>'3-Human Resource'!E24</f>
        <v>1927.5</v>
      </c>
      <c r="E57" s="99">
        <f>'3-Human Resource'!F24</f>
        <v>4240.5</v>
      </c>
      <c r="F57" s="99">
        <f>'3-Human Resource'!G24</f>
        <v>10408.5</v>
      </c>
      <c r="G57" s="99">
        <f>'3-Human Resource'!H24</f>
        <v>18889.5</v>
      </c>
      <c r="H57" s="99">
        <f>'3-Human Resource'!I24</f>
        <v>21588</v>
      </c>
    </row>
    <row r="58" spans="2:8" x14ac:dyDescent="0.2">
      <c r="B58" s="7" t="s">
        <v>114</v>
      </c>
      <c r="C58" s="19" t="s">
        <v>13</v>
      </c>
      <c r="D58" s="99">
        <f>D41</f>
        <v>10000</v>
      </c>
      <c r="E58" s="99">
        <f t="shared" ref="E58:H58" si="16">E41</f>
        <v>10500</v>
      </c>
      <c r="F58" s="99">
        <f t="shared" si="16"/>
        <v>11025</v>
      </c>
      <c r="G58" s="99">
        <f t="shared" si="16"/>
        <v>11576.25</v>
      </c>
      <c r="H58" s="99">
        <f t="shared" si="16"/>
        <v>12155.0625</v>
      </c>
    </row>
    <row r="59" spans="2:8" x14ac:dyDescent="0.2">
      <c r="B59" s="86" t="s">
        <v>118</v>
      </c>
      <c r="C59" s="20" t="s">
        <v>13</v>
      </c>
      <c r="D59" s="99"/>
      <c r="E59" s="99"/>
      <c r="F59" s="99"/>
      <c r="G59" s="99"/>
      <c r="H59" s="99"/>
    </row>
    <row r="60" spans="2:8" x14ac:dyDescent="0.2">
      <c r="B60" s="7" t="s">
        <v>115</v>
      </c>
      <c r="C60" s="19" t="s">
        <v>13</v>
      </c>
      <c r="D60" s="99">
        <f>D40</f>
        <v>8000</v>
      </c>
      <c r="E60" s="99">
        <f t="shared" ref="E60:H60" si="17">E40</f>
        <v>8400</v>
      </c>
      <c r="F60" s="99">
        <f t="shared" si="17"/>
        <v>13820</v>
      </c>
      <c r="G60" s="99">
        <f t="shared" si="17"/>
        <v>24511</v>
      </c>
      <c r="H60" s="99">
        <f t="shared" si="17"/>
        <v>35736.550000000003</v>
      </c>
    </row>
    <row r="61" spans="2:8" x14ac:dyDescent="0.2">
      <c r="B61" s="86" t="s">
        <v>119</v>
      </c>
      <c r="C61" s="20" t="s">
        <v>13</v>
      </c>
      <c r="D61" s="99"/>
      <c r="E61" s="99"/>
      <c r="F61" s="99"/>
      <c r="G61" s="99"/>
      <c r="H61" s="99"/>
    </row>
    <row r="62" spans="2:8" x14ac:dyDescent="0.2">
      <c r="B62" s="7" t="s">
        <v>120</v>
      </c>
      <c r="C62" s="19" t="s">
        <v>13</v>
      </c>
      <c r="D62" s="99">
        <f>'3-Human Resource'!E27</f>
        <v>12000</v>
      </c>
      <c r="E62" s="99">
        <f>'3-Human Resource'!F27</f>
        <v>12000</v>
      </c>
      <c r="F62" s="99">
        <f>'3-Human Resource'!G27</f>
        <v>24000</v>
      </c>
      <c r="G62" s="99">
        <f>'3-Human Resource'!H27</f>
        <v>48000</v>
      </c>
      <c r="H62" s="99">
        <f>'3-Human Resource'!I27</f>
        <v>48000</v>
      </c>
    </row>
    <row r="63" spans="2:8" x14ac:dyDescent="0.2">
      <c r="B63" s="7" t="s">
        <v>91</v>
      </c>
      <c r="C63" s="19" t="s">
        <v>13</v>
      </c>
      <c r="D63" s="99">
        <f>D38</f>
        <v>15000</v>
      </c>
      <c r="E63" s="99">
        <f t="shared" ref="E63:H63" si="18">E38</f>
        <v>15000</v>
      </c>
      <c r="F63" s="99">
        <f t="shared" si="18"/>
        <v>27000</v>
      </c>
      <c r="G63" s="99">
        <f t="shared" si="18"/>
        <v>42000</v>
      </c>
      <c r="H63" s="99">
        <f t="shared" si="18"/>
        <v>48000</v>
      </c>
    </row>
    <row r="64" spans="2:8" x14ac:dyDescent="0.2">
      <c r="B64" s="7" t="s">
        <v>122</v>
      </c>
      <c r="C64" s="19" t="s">
        <v>13</v>
      </c>
      <c r="D64" s="99">
        <f>D39</f>
        <v>12500</v>
      </c>
      <c r="E64" s="99">
        <f t="shared" ref="E64:H64" si="19">E39</f>
        <v>5000</v>
      </c>
      <c r="F64" s="99">
        <f t="shared" si="19"/>
        <v>11000</v>
      </c>
      <c r="G64" s="99">
        <f t="shared" si="19"/>
        <v>12500</v>
      </c>
      <c r="H64" s="99">
        <f t="shared" si="19"/>
        <v>8000</v>
      </c>
    </row>
    <row r="65" spans="2:8" x14ac:dyDescent="0.2">
      <c r="B65" s="51" t="s">
        <v>123</v>
      </c>
      <c r="C65" s="82" t="s">
        <v>13</v>
      </c>
      <c r="D65" s="55">
        <f>SUM(D51:D64)</f>
        <v>227427.5</v>
      </c>
      <c r="E65" s="55">
        <f>SUM(E51:E64)</f>
        <v>173506.1</v>
      </c>
      <c r="F65" s="55">
        <f>SUM(F51:F64)</f>
        <v>285016.86634568835</v>
      </c>
      <c r="G65" s="55">
        <f>SUM(G51:G64)</f>
        <v>448850.33675372537</v>
      </c>
      <c r="H65" s="55">
        <f>SUM(H51:H64)</f>
        <v>534673.44340062677</v>
      </c>
    </row>
    <row r="66" spans="2:8" x14ac:dyDescent="0.2">
      <c r="B66" s="102" t="s">
        <v>100</v>
      </c>
      <c r="C66" s="82" t="s">
        <v>13</v>
      </c>
      <c r="D66" s="55">
        <f>D48-D65</f>
        <v>-150331.25</v>
      </c>
      <c r="E66" s="55">
        <f>E48-E65</f>
        <v>116516.5975</v>
      </c>
      <c r="F66" s="55">
        <f>F48-F65</f>
        <v>505337.23816372792</v>
      </c>
      <c r="G66" s="55">
        <f>G48-G65</f>
        <v>1288680.1330822932</v>
      </c>
      <c r="H66" s="55">
        <f>H48-H65</f>
        <v>2405057.385856797</v>
      </c>
    </row>
    <row r="67" spans="2:8" x14ac:dyDescent="0.2">
      <c r="B67" s="7" t="s">
        <v>124</v>
      </c>
      <c r="D67" s="99">
        <f>D36/5</f>
        <v>1300</v>
      </c>
      <c r="E67" s="99">
        <f t="shared" ref="E67" si="20">$D$36/5</f>
        <v>1300</v>
      </c>
      <c r="F67" s="99">
        <f>$D$36/5+F36/3</f>
        <v>3466.6666666666665</v>
      </c>
      <c r="G67" s="99">
        <f>$D$36/5+F36/3+G36/2</f>
        <v>6716.6666666666661</v>
      </c>
      <c r="H67" s="99">
        <f>$D$36/5+F36/3+G36/2</f>
        <v>6716.6666666666661</v>
      </c>
    </row>
    <row r="68" spans="2:8" x14ac:dyDescent="0.2">
      <c r="B68" s="102" t="s">
        <v>125</v>
      </c>
      <c r="C68" s="82" t="s">
        <v>13</v>
      </c>
      <c r="D68" s="55">
        <f>D66-D67</f>
        <v>-151631.25</v>
      </c>
      <c r="E68" s="55">
        <f t="shared" ref="E68:H68" si="21">E66-E67</f>
        <v>115216.5975</v>
      </c>
      <c r="F68" s="55">
        <f t="shared" si="21"/>
        <v>501870.57149706123</v>
      </c>
      <c r="G68" s="55">
        <f t="shared" si="21"/>
        <v>1281963.4664156265</v>
      </c>
      <c r="H68" s="55">
        <f t="shared" si="21"/>
        <v>2398340.7191901305</v>
      </c>
    </row>
    <row r="69" spans="2:8" x14ac:dyDescent="0.2">
      <c r="B69" s="7" t="s">
        <v>126</v>
      </c>
      <c r="C69" s="19" t="s">
        <v>13</v>
      </c>
      <c r="D69" s="139">
        <v>0</v>
      </c>
      <c r="E69" s="140">
        <v>0</v>
      </c>
      <c r="F69" s="103">
        <f>F68*20%</f>
        <v>100374.11429941225</v>
      </c>
      <c r="G69" s="103">
        <f t="shared" ref="G69:H69" si="22">G68*20%</f>
        <v>256392.69328312529</v>
      </c>
      <c r="H69" s="103">
        <f t="shared" si="22"/>
        <v>479668.1438380261</v>
      </c>
    </row>
    <row r="70" spans="2:8" ht="16" thickBot="1" x14ac:dyDescent="0.25">
      <c r="B70" s="110" t="s">
        <v>127</v>
      </c>
      <c r="C70" s="111" t="s">
        <v>13</v>
      </c>
      <c r="D70" s="112">
        <f>D68-D69</f>
        <v>-151631.25</v>
      </c>
      <c r="E70" s="112">
        <f>E68-E69</f>
        <v>115216.5975</v>
      </c>
      <c r="F70" s="112">
        <f t="shared" ref="F70:H70" si="23">F68-F69</f>
        <v>401496.457197649</v>
      </c>
      <c r="G70" s="112">
        <f t="shared" si="23"/>
        <v>1025570.7731325012</v>
      </c>
      <c r="H70" s="112">
        <f t="shared" si="23"/>
        <v>1918672.5753521044</v>
      </c>
    </row>
    <row r="74" spans="2:8" x14ac:dyDescent="0.2">
      <c r="F74" s="5" t="s">
        <v>128</v>
      </c>
    </row>
  </sheetData>
  <mergeCells count="1">
    <mergeCell ref="B2:H2"/>
  </mergeCells>
  <phoneticPr fontId="9" type="noConversion"/>
  <pageMargins left="0.7" right="0.7" top="0.75" bottom="0.75" header="0.3" footer="0.3"/>
  <ignoredErrors>
    <ignoredError sqref="F69:H6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B590-9D69-1A46-8082-E9BF742AE964}">
  <dimension ref="B2:H139"/>
  <sheetViews>
    <sheetView showGridLines="0" zoomScale="125" zoomScaleNormal="100" workbookViewId="0">
      <pane ySplit="3" topLeftCell="A88" activePane="bottomLeft" state="frozenSplit"/>
      <selection pane="bottomLeft" activeCell="C139" sqref="C139"/>
    </sheetView>
  </sheetViews>
  <sheetFormatPr baseColWidth="10" defaultColWidth="10.83203125" defaultRowHeight="15" x14ac:dyDescent="0.2"/>
  <cols>
    <col min="1" max="1" width="5.5" style="5" customWidth="1"/>
    <col min="2" max="2" width="18" style="5" customWidth="1"/>
    <col min="3" max="4" width="30.5" style="5" customWidth="1"/>
    <col min="5" max="5" width="30.5" style="63" customWidth="1"/>
    <col min="6" max="7" width="30.5" style="5" customWidth="1"/>
    <col min="8" max="10" width="10.83203125" style="5"/>
    <col min="11" max="11" width="10.83203125" style="5" customWidth="1"/>
    <col min="12" max="16384" width="10.83203125" style="5"/>
  </cols>
  <sheetData>
    <row r="2" spans="2:8" ht="16" customHeight="1" x14ac:dyDescent="0.2">
      <c r="B2" s="142" t="s">
        <v>51</v>
      </c>
      <c r="C2" s="142"/>
      <c r="D2" s="142"/>
      <c r="E2" s="142"/>
      <c r="F2" s="142"/>
      <c r="G2" s="142"/>
    </row>
    <row r="3" spans="2:8" x14ac:dyDescent="0.2">
      <c r="B3" s="42" t="s">
        <v>0</v>
      </c>
      <c r="C3" s="43" t="s">
        <v>56</v>
      </c>
      <c r="D3" s="43" t="s">
        <v>55</v>
      </c>
      <c r="E3" s="61" t="s">
        <v>74</v>
      </c>
      <c r="F3" s="43" t="s">
        <v>68</v>
      </c>
      <c r="G3" s="43" t="s">
        <v>67</v>
      </c>
    </row>
    <row r="4" spans="2:8" x14ac:dyDescent="0.2">
      <c r="B4" s="131"/>
      <c r="C4" s="132"/>
      <c r="D4" s="132"/>
      <c r="E4" s="133"/>
      <c r="F4" s="132"/>
      <c r="G4" s="132"/>
    </row>
    <row r="5" spans="2:8" ht="16" thickBot="1" x14ac:dyDescent="0.25">
      <c r="B5" s="143" t="s">
        <v>149</v>
      </c>
      <c r="C5" s="143"/>
      <c r="D5" s="143"/>
      <c r="E5" s="143"/>
      <c r="F5" s="143"/>
      <c r="G5" s="143"/>
    </row>
    <row r="6" spans="2:8" ht="16" thickTop="1" x14ac:dyDescent="0.2">
      <c r="B6" s="44" t="s">
        <v>19</v>
      </c>
      <c r="C6" s="45"/>
      <c r="D6" s="45"/>
      <c r="E6" s="62"/>
      <c r="F6" s="45"/>
      <c r="G6" s="45"/>
    </row>
    <row r="7" spans="2:8" x14ac:dyDescent="0.2">
      <c r="B7" s="8" t="s">
        <v>52</v>
      </c>
    </row>
    <row r="8" spans="2:8" x14ac:dyDescent="0.2">
      <c r="B8" s="7" t="s">
        <v>53</v>
      </c>
      <c r="C8" s="47">
        <v>0</v>
      </c>
      <c r="D8" s="49">
        <f>'1-Financial Model'!$D$15/12</f>
        <v>0.41666666666666669</v>
      </c>
      <c r="E8" s="46">
        <v>0</v>
      </c>
      <c r="F8" s="49">
        <f>D8</f>
        <v>0.41666666666666669</v>
      </c>
      <c r="G8" s="48">
        <f>F8*'1-Financial Model'!$D$21*30000/32*5%</f>
        <v>937.5</v>
      </c>
      <c r="H8" s="32"/>
    </row>
    <row r="9" spans="2:8" x14ac:dyDescent="0.2">
      <c r="B9" s="7" t="s">
        <v>54</v>
      </c>
      <c r="C9" s="47">
        <v>0</v>
      </c>
      <c r="D9" s="49">
        <f>'1-Financial Model'!$D$15/12</f>
        <v>0.41666666666666669</v>
      </c>
      <c r="E9" s="46">
        <v>0</v>
      </c>
      <c r="F9" s="49">
        <f t="shared" ref="F9:F19" si="0">C8+F8+D9</f>
        <v>0.83333333333333337</v>
      </c>
      <c r="G9" s="48">
        <f>F9*'1-Financial Model'!$D$21*30000/32*5%</f>
        <v>1875</v>
      </c>
    </row>
    <row r="10" spans="2:8" x14ac:dyDescent="0.2">
      <c r="B10" s="7" t="s">
        <v>57</v>
      </c>
      <c r="C10" s="47">
        <v>0</v>
      </c>
      <c r="D10" s="49">
        <f>'1-Financial Model'!$D$15/12</f>
        <v>0.41666666666666669</v>
      </c>
      <c r="E10" s="46">
        <v>0</v>
      </c>
      <c r="F10" s="49">
        <f t="shared" si="0"/>
        <v>1.25</v>
      </c>
      <c r="G10" s="48">
        <f>F10*'1-Financial Model'!$D$21*30000/32*5%</f>
        <v>2812.5</v>
      </c>
    </row>
    <row r="11" spans="2:8" x14ac:dyDescent="0.2">
      <c r="B11" s="7" t="s">
        <v>58</v>
      </c>
      <c r="C11" s="47">
        <v>0</v>
      </c>
      <c r="D11" s="49">
        <f>'1-Financial Model'!$D$15/12</f>
        <v>0.41666666666666669</v>
      </c>
      <c r="E11" s="46">
        <v>0</v>
      </c>
      <c r="F11" s="49">
        <f t="shared" si="0"/>
        <v>1.6666666666666667</v>
      </c>
      <c r="G11" s="48">
        <f>F11*'1-Financial Model'!$D$21*30000/32*5%</f>
        <v>3750</v>
      </c>
    </row>
    <row r="12" spans="2:8" x14ac:dyDescent="0.2">
      <c r="B12" s="7" t="s">
        <v>59</v>
      </c>
      <c r="C12" s="47">
        <v>0</v>
      </c>
      <c r="D12" s="49">
        <f>'1-Financial Model'!$D$15/12</f>
        <v>0.41666666666666669</v>
      </c>
      <c r="E12" s="46">
        <v>0</v>
      </c>
      <c r="F12" s="49">
        <f t="shared" si="0"/>
        <v>2.0833333333333335</v>
      </c>
      <c r="G12" s="48">
        <f>F12*'1-Financial Model'!$D$21*30000/32*5%</f>
        <v>4687.5</v>
      </c>
    </row>
    <row r="13" spans="2:8" x14ac:dyDescent="0.2">
      <c r="B13" s="7" t="s">
        <v>60</v>
      </c>
      <c r="C13" s="47">
        <v>0</v>
      </c>
      <c r="D13" s="49">
        <f>'1-Financial Model'!$D$15/12</f>
        <v>0.41666666666666669</v>
      </c>
      <c r="E13" s="46">
        <v>0</v>
      </c>
      <c r="F13" s="49">
        <f t="shared" si="0"/>
        <v>2.5</v>
      </c>
      <c r="G13" s="48">
        <f>F13*'1-Financial Model'!$D$21*30000/32*5%</f>
        <v>5625</v>
      </c>
    </row>
    <row r="14" spans="2:8" x14ac:dyDescent="0.2">
      <c r="B14" s="7" t="s">
        <v>61</v>
      </c>
      <c r="C14" s="47">
        <v>0</v>
      </c>
      <c r="D14" s="49">
        <f>'1-Financial Model'!$D$15/12</f>
        <v>0.41666666666666669</v>
      </c>
      <c r="E14" s="46">
        <v>0</v>
      </c>
      <c r="F14" s="49">
        <f t="shared" si="0"/>
        <v>2.9166666666666665</v>
      </c>
      <c r="G14" s="48">
        <f>F14*'1-Financial Model'!$D$21*30000/32*5%</f>
        <v>6562.5</v>
      </c>
    </row>
    <row r="15" spans="2:8" x14ac:dyDescent="0.2">
      <c r="B15" s="7" t="s">
        <v>62</v>
      </c>
      <c r="C15" s="47">
        <v>0</v>
      </c>
      <c r="D15" s="49">
        <f>'1-Financial Model'!$D$15/12</f>
        <v>0.41666666666666669</v>
      </c>
      <c r="E15" s="46">
        <v>0</v>
      </c>
      <c r="F15" s="49">
        <f t="shared" si="0"/>
        <v>3.333333333333333</v>
      </c>
      <c r="G15" s="48">
        <f>F15*'1-Financial Model'!$D$21*30000/32*5%</f>
        <v>7500</v>
      </c>
    </row>
    <row r="16" spans="2:8" x14ac:dyDescent="0.2">
      <c r="B16" s="7" t="s">
        <v>63</v>
      </c>
      <c r="C16" s="47">
        <v>0</v>
      </c>
      <c r="D16" s="49">
        <f>'1-Financial Model'!$D$15/12</f>
        <v>0.41666666666666669</v>
      </c>
      <c r="E16" s="46">
        <v>0</v>
      </c>
      <c r="F16" s="49">
        <f t="shared" si="0"/>
        <v>3.7499999999999996</v>
      </c>
      <c r="G16" s="48">
        <f>F16*'1-Financial Model'!$D$21*30000/32*5%</f>
        <v>8437.4999999999982</v>
      </c>
    </row>
    <row r="17" spans="2:8" x14ac:dyDescent="0.2">
      <c r="B17" s="7" t="s">
        <v>64</v>
      </c>
      <c r="C17" s="47">
        <v>0</v>
      </c>
      <c r="D17" s="49">
        <f>'1-Financial Model'!$D$15/12</f>
        <v>0.41666666666666669</v>
      </c>
      <c r="E17" s="46">
        <v>0</v>
      </c>
      <c r="F17" s="49">
        <f t="shared" si="0"/>
        <v>4.1666666666666661</v>
      </c>
      <c r="G17" s="48">
        <f>F17*'1-Financial Model'!$D$21*30000/32*5%</f>
        <v>9374.9999999999982</v>
      </c>
    </row>
    <row r="18" spans="2:8" x14ac:dyDescent="0.2">
      <c r="B18" s="7" t="s">
        <v>65</v>
      </c>
      <c r="C18" s="47">
        <v>0</v>
      </c>
      <c r="D18" s="49">
        <f>'1-Financial Model'!$D$15/12</f>
        <v>0.41666666666666669</v>
      </c>
      <c r="E18" s="46">
        <v>0</v>
      </c>
      <c r="F18" s="49">
        <f t="shared" si="0"/>
        <v>4.583333333333333</v>
      </c>
      <c r="G18" s="48">
        <f>F18*'1-Financial Model'!$D$21*30000/32*5%</f>
        <v>10312.5</v>
      </c>
    </row>
    <row r="19" spans="2:8" x14ac:dyDescent="0.2">
      <c r="B19" s="7" t="s">
        <v>66</v>
      </c>
      <c r="C19" s="47">
        <v>0</v>
      </c>
      <c r="D19" s="49">
        <f>'1-Financial Model'!$D$15/12</f>
        <v>0.41666666666666669</v>
      </c>
      <c r="E19" s="46">
        <v>0</v>
      </c>
      <c r="F19" s="49">
        <f t="shared" si="0"/>
        <v>5</v>
      </c>
      <c r="G19" s="48">
        <f>F19*'1-Financial Model'!$D$21*30000/32*5%</f>
        <v>11250</v>
      </c>
    </row>
    <row r="20" spans="2:8" x14ac:dyDescent="0.2">
      <c r="B20" s="51" t="s">
        <v>69</v>
      </c>
      <c r="C20" s="52"/>
      <c r="D20" s="58">
        <f>SUM(D8:D19)</f>
        <v>5</v>
      </c>
      <c r="E20" s="64"/>
      <c r="F20" s="56">
        <f>F19</f>
        <v>5</v>
      </c>
      <c r="G20" s="55">
        <f>SUM(G8:G19)</f>
        <v>73125</v>
      </c>
    </row>
    <row r="21" spans="2:8" x14ac:dyDescent="0.2">
      <c r="B21" s="53"/>
      <c r="C21" s="54"/>
      <c r="D21" s="54"/>
      <c r="E21" s="46"/>
      <c r="F21" s="54"/>
      <c r="G21" s="11"/>
    </row>
    <row r="22" spans="2:8" x14ac:dyDescent="0.2">
      <c r="B22" s="44" t="s">
        <v>20</v>
      </c>
      <c r="C22" s="45"/>
      <c r="D22" s="45"/>
      <c r="E22" s="62"/>
      <c r="F22" s="45"/>
      <c r="G22" s="45"/>
    </row>
    <row r="23" spans="2:8" x14ac:dyDescent="0.2">
      <c r="B23" s="8" t="s">
        <v>52</v>
      </c>
      <c r="H23" s="32"/>
    </row>
    <row r="24" spans="2:8" x14ac:dyDescent="0.2">
      <c r="B24" s="7" t="s">
        <v>53</v>
      </c>
      <c r="C24" s="57">
        <f>$D$20</f>
        <v>5</v>
      </c>
      <c r="D24" s="49">
        <f>'1-Financial Model'!$E$15/12</f>
        <v>0.91666666666666663</v>
      </c>
      <c r="E24" s="46">
        <v>0</v>
      </c>
      <c r="F24" s="49">
        <f>C24+D24</f>
        <v>5.916666666666667</v>
      </c>
      <c r="G24" s="59">
        <f>F24*'1-Financial Model'!$D$21*30000/32*5%</f>
        <v>13312.5</v>
      </c>
    </row>
    <row r="25" spans="2:8" x14ac:dyDescent="0.2">
      <c r="B25" s="7" t="s">
        <v>54</v>
      </c>
      <c r="C25" s="57">
        <f t="shared" ref="C25:C35" si="1">$D$20</f>
        <v>5</v>
      </c>
      <c r="D25" s="49">
        <f>'1-Financial Model'!$E$15/12</f>
        <v>0.91666666666666663</v>
      </c>
      <c r="E25" s="46">
        <v>0</v>
      </c>
      <c r="F25" s="49">
        <f t="shared" ref="F25:F35" si="2">F24+D25</f>
        <v>6.8333333333333339</v>
      </c>
      <c r="G25" s="59">
        <f>F25*'1-Financial Model'!$D$21*30000/32*5%</f>
        <v>15375</v>
      </c>
    </row>
    <row r="26" spans="2:8" x14ac:dyDescent="0.2">
      <c r="B26" s="7" t="s">
        <v>57</v>
      </c>
      <c r="C26" s="57">
        <f t="shared" si="1"/>
        <v>5</v>
      </c>
      <c r="D26" s="49">
        <f>'1-Financial Model'!$E$15/12</f>
        <v>0.91666666666666663</v>
      </c>
      <c r="E26" s="46">
        <v>0</v>
      </c>
      <c r="F26" s="49">
        <f t="shared" si="2"/>
        <v>7.7500000000000009</v>
      </c>
      <c r="G26" s="59">
        <f>F26*'1-Financial Model'!$D$21*30000/32*5%</f>
        <v>17437.500000000004</v>
      </c>
    </row>
    <row r="27" spans="2:8" x14ac:dyDescent="0.2">
      <c r="B27" s="7" t="s">
        <v>58</v>
      </c>
      <c r="C27" s="57">
        <f t="shared" si="1"/>
        <v>5</v>
      </c>
      <c r="D27" s="49">
        <f>'1-Financial Model'!$E$15/12</f>
        <v>0.91666666666666663</v>
      </c>
      <c r="E27" s="46">
        <v>0</v>
      </c>
      <c r="F27" s="49">
        <f t="shared" si="2"/>
        <v>8.6666666666666679</v>
      </c>
      <c r="G27" s="59">
        <f>F27*'1-Financial Model'!$D$21*30000/32*5%</f>
        <v>19500.000000000004</v>
      </c>
    </row>
    <row r="28" spans="2:8" x14ac:dyDescent="0.2">
      <c r="B28" s="7" t="s">
        <v>59</v>
      </c>
      <c r="C28" s="57">
        <f t="shared" si="1"/>
        <v>5</v>
      </c>
      <c r="D28" s="49">
        <f>'1-Financial Model'!$E$15/12</f>
        <v>0.91666666666666663</v>
      </c>
      <c r="E28" s="46">
        <v>0</v>
      </c>
      <c r="F28" s="49">
        <f t="shared" si="2"/>
        <v>9.5833333333333339</v>
      </c>
      <c r="G28" s="59">
        <f>F28*'1-Financial Model'!$D$21*30000/32*5%</f>
        <v>21562.5</v>
      </c>
    </row>
    <row r="29" spans="2:8" x14ac:dyDescent="0.2">
      <c r="B29" s="7" t="s">
        <v>60</v>
      </c>
      <c r="C29" s="57">
        <f t="shared" si="1"/>
        <v>5</v>
      </c>
      <c r="D29" s="49">
        <f>'1-Financial Model'!$E$15/12</f>
        <v>0.91666666666666663</v>
      </c>
      <c r="E29" s="46">
        <v>0</v>
      </c>
      <c r="F29" s="49">
        <f t="shared" si="2"/>
        <v>10.5</v>
      </c>
      <c r="G29" s="59">
        <f>F29*'1-Financial Model'!$D$21*30000/32*5%</f>
        <v>23625</v>
      </c>
    </row>
    <row r="30" spans="2:8" x14ac:dyDescent="0.2">
      <c r="B30" s="7" t="s">
        <v>61</v>
      </c>
      <c r="C30" s="57">
        <f t="shared" si="1"/>
        <v>5</v>
      </c>
      <c r="D30" s="49">
        <f>'1-Financial Model'!$E$15/12</f>
        <v>0.91666666666666663</v>
      </c>
      <c r="E30" s="46">
        <v>0</v>
      </c>
      <c r="F30" s="49">
        <f t="shared" si="2"/>
        <v>11.416666666666666</v>
      </c>
      <c r="G30" s="59">
        <f>F30*'1-Financial Model'!$D$21*30000/32*5%</f>
        <v>25687.5</v>
      </c>
    </row>
    <row r="31" spans="2:8" x14ac:dyDescent="0.2">
      <c r="B31" s="7" t="s">
        <v>62</v>
      </c>
      <c r="C31" s="57">
        <f t="shared" si="1"/>
        <v>5</v>
      </c>
      <c r="D31" s="49">
        <f>'1-Financial Model'!$E$15/12</f>
        <v>0.91666666666666663</v>
      </c>
      <c r="E31" s="46">
        <v>0</v>
      </c>
      <c r="F31" s="49">
        <f t="shared" si="2"/>
        <v>12.333333333333332</v>
      </c>
      <c r="G31" s="59">
        <f>F31*'1-Financial Model'!$D$21*30000/32*5%</f>
        <v>27750</v>
      </c>
    </row>
    <row r="32" spans="2:8" x14ac:dyDescent="0.2">
      <c r="B32" s="7" t="s">
        <v>63</v>
      </c>
      <c r="C32" s="57">
        <f t="shared" si="1"/>
        <v>5</v>
      </c>
      <c r="D32" s="49">
        <f>'1-Financial Model'!$E$15/12</f>
        <v>0.91666666666666663</v>
      </c>
      <c r="E32" s="46">
        <v>0</v>
      </c>
      <c r="F32" s="49">
        <f t="shared" si="2"/>
        <v>13.249999999999998</v>
      </c>
      <c r="G32" s="59">
        <f>F32*'1-Financial Model'!$D$21*30000/32*5%</f>
        <v>29812.499999999996</v>
      </c>
    </row>
    <row r="33" spans="2:7" x14ac:dyDescent="0.2">
      <c r="B33" s="7" t="s">
        <v>64</v>
      </c>
      <c r="C33" s="57">
        <f t="shared" si="1"/>
        <v>5</v>
      </c>
      <c r="D33" s="49">
        <f>'1-Financial Model'!$E$15/12</f>
        <v>0.91666666666666663</v>
      </c>
      <c r="E33" s="46">
        <v>0</v>
      </c>
      <c r="F33" s="49">
        <f t="shared" si="2"/>
        <v>14.166666666666664</v>
      </c>
      <c r="G33" s="59">
        <f>F33*'1-Financial Model'!$D$21*30000/32*5%</f>
        <v>31874.999999999996</v>
      </c>
    </row>
    <row r="34" spans="2:7" x14ac:dyDescent="0.2">
      <c r="B34" s="7" t="s">
        <v>65</v>
      </c>
      <c r="C34" s="57">
        <f t="shared" si="1"/>
        <v>5</v>
      </c>
      <c r="D34" s="49">
        <f>'1-Financial Model'!$E$15/12</f>
        <v>0.91666666666666663</v>
      </c>
      <c r="E34" s="46">
        <v>0</v>
      </c>
      <c r="F34" s="49">
        <f t="shared" si="2"/>
        <v>15.08333333333333</v>
      </c>
      <c r="G34" s="59">
        <f>F34*'1-Financial Model'!$D$21*30000/32*5%</f>
        <v>33937.499999999993</v>
      </c>
    </row>
    <row r="35" spans="2:7" x14ac:dyDescent="0.2">
      <c r="B35" s="7" t="s">
        <v>66</v>
      </c>
      <c r="C35" s="57">
        <f t="shared" si="1"/>
        <v>5</v>
      </c>
      <c r="D35" s="49">
        <f>'1-Financial Model'!$E$15/12</f>
        <v>0.91666666666666663</v>
      </c>
      <c r="E35" s="46">
        <v>0</v>
      </c>
      <c r="F35" s="49">
        <f t="shared" si="2"/>
        <v>15.999999999999996</v>
      </c>
      <c r="G35" s="59">
        <f>F35*'1-Financial Model'!$D$21*30000/32*5%</f>
        <v>35999.999999999993</v>
      </c>
    </row>
    <row r="36" spans="2:7" x14ac:dyDescent="0.2">
      <c r="B36" s="51" t="s">
        <v>70</v>
      </c>
      <c r="C36" s="52"/>
      <c r="D36" s="56">
        <f>SUM(D24:D35)</f>
        <v>10.999999999999998</v>
      </c>
      <c r="E36" s="65"/>
      <c r="F36" s="56">
        <f>F35</f>
        <v>15.999999999999996</v>
      </c>
      <c r="G36" s="60">
        <f>SUM(G24:G35)</f>
        <v>295875</v>
      </c>
    </row>
    <row r="37" spans="2:7" x14ac:dyDescent="0.2">
      <c r="B37" s="53"/>
      <c r="C37" s="54"/>
      <c r="D37" s="54"/>
      <c r="E37" s="46"/>
      <c r="F37" s="54"/>
      <c r="G37" s="11"/>
    </row>
    <row r="38" spans="2:7" x14ac:dyDescent="0.2">
      <c r="B38" s="44" t="s">
        <v>21</v>
      </c>
      <c r="C38" s="45"/>
      <c r="D38" s="45"/>
      <c r="E38" s="62"/>
      <c r="F38" s="45"/>
      <c r="G38" s="45"/>
    </row>
    <row r="39" spans="2:7" x14ac:dyDescent="0.2">
      <c r="B39" s="8" t="s">
        <v>52</v>
      </c>
    </row>
    <row r="40" spans="2:7" x14ac:dyDescent="0.2">
      <c r="B40" s="7" t="s">
        <v>53</v>
      </c>
      <c r="C40" s="57">
        <f>$F$36</f>
        <v>15.999999999999996</v>
      </c>
      <c r="D40" s="49">
        <f>'1-Financial Model'!$F$12/12</f>
        <v>1.8333333333333333</v>
      </c>
      <c r="E40" s="66">
        <f>(1-'1-Financial Model'!$F$16)^(1/12)-1</f>
        <v>-4.2653187775606449E-3</v>
      </c>
      <c r="F40" s="49">
        <f>C40+D40+C40*E40</f>
        <v>17.76508823289236</v>
      </c>
      <c r="G40" s="59">
        <f>F40*'1-Financial Model'!$D$21*30000/32*5%</f>
        <v>39971.448524007814</v>
      </c>
    </row>
    <row r="41" spans="2:7" x14ac:dyDescent="0.2">
      <c r="B41" s="7" t="s">
        <v>54</v>
      </c>
      <c r="C41" s="57">
        <f>C40+C40*E40</f>
        <v>15.931754899559026</v>
      </c>
      <c r="D41" s="49">
        <f>'1-Financial Model'!$F$12/12</f>
        <v>1.8333333333333333</v>
      </c>
      <c r="E41" s="66">
        <f>(1-'1-Financial Model'!$F$16)^(1/12)-1</f>
        <v>-4.2653187775606449E-3</v>
      </c>
      <c r="F41" s="49">
        <f>F40+D41+C41*E41</f>
        <v>19.530467552893111</v>
      </c>
      <c r="G41" s="59">
        <f>F41*'1-Financial Model'!$D$21*30000/32*5%</f>
        <v>43943.551994009496</v>
      </c>
    </row>
    <row r="42" spans="2:7" x14ac:dyDescent="0.2">
      <c r="B42" s="7" t="s">
        <v>57</v>
      </c>
      <c r="C42" s="57">
        <f t="shared" ref="C42:C51" si="3">C41+C41*E41</f>
        <v>15.863800886226443</v>
      </c>
      <c r="D42" s="49">
        <f>'1-Financial Model'!$F$12/12</f>
        <v>1.8333333333333333</v>
      </c>
      <c r="E42" s="66">
        <f>(1-'1-Financial Model'!$F$16)^(1/12)-1</f>
        <v>-4.2653187775606449E-3</v>
      </c>
      <c r="F42" s="49">
        <f t="shared" ref="F42:F51" si="4">F41+D42+C42*E42</f>
        <v>21.29613671842294</v>
      </c>
      <c r="G42" s="59">
        <f>F42*'1-Financial Model'!$D$21*30000/32*5%</f>
        <v>47916.30761645161</v>
      </c>
    </row>
    <row r="43" spans="2:7" x14ac:dyDescent="0.2">
      <c r="B43" s="7" t="s">
        <v>58</v>
      </c>
      <c r="C43" s="57">
        <f t="shared" si="3"/>
        <v>15.796136718422938</v>
      </c>
      <c r="D43" s="49">
        <f>'1-Financial Model'!$F$12/12</f>
        <v>1.8333333333333333</v>
      </c>
      <c r="E43" s="66">
        <f>(1-'1-Financial Model'!$F$16)^(1/12)-1</f>
        <v>-4.2653187775606449E-3</v>
      </c>
      <c r="F43" s="49">
        <f t="shared" si="4"/>
        <v>23.062094493198266</v>
      </c>
      <c r="G43" s="59">
        <f>F43*'1-Financial Model'!$D$21*30000/32*5%</f>
        <v>51889.712609696107</v>
      </c>
    </row>
    <row r="44" spans="2:7" x14ac:dyDescent="0.2">
      <c r="B44" s="7" t="s">
        <v>59</v>
      </c>
      <c r="C44" s="57">
        <f t="shared" si="3"/>
        <v>15.728761159864932</v>
      </c>
      <c r="D44" s="49">
        <f>'1-Financial Model'!$F$12/12</f>
        <v>1.8333333333333333</v>
      </c>
      <c r="E44" s="66">
        <f>(1-'1-Financial Model'!$F$16)^(1/12)-1</f>
        <v>-4.2653187775606449E-3</v>
      </c>
      <c r="F44" s="49">
        <f t="shared" si="4"/>
        <v>24.828339646208661</v>
      </c>
      <c r="G44" s="59">
        <f>F44*'1-Financial Model'!$D$21*30000/32*5%</f>
        <v>55863.764203969498</v>
      </c>
    </row>
    <row r="45" spans="2:7" x14ac:dyDescent="0.2">
      <c r="B45" s="7" t="s">
        <v>60</v>
      </c>
      <c r="C45" s="57">
        <f t="shared" si="3"/>
        <v>15.661672979541994</v>
      </c>
      <c r="D45" s="49">
        <f>'1-Financial Model'!$F$12/12</f>
        <v>1.8333333333333333</v>
      </c>
      <c r="E45" s="66">
        <f>(1-'1-Financial Model'!$F$16)^(1/12)-1</f>
        <v>-4.2653187775606449E-3</v>
      </c>
      <c r="F45" s="49">
        <f t="shared" si="4"/>
        <v>26.59487095169434</v>
      </c>
      <c r="G45" s="59">
        <f>F45*'1-Financial Model'!$D$21*30000/32*5%</f>
        <v>59838.459641312278</v>
      </c>
    </row>
    <row r="46" spans="2:7" x14ac:dyDescent="0.2">
      <c r="B46" s="7" t="s">
        <v>61</v>
      </c>
      <c r="C46" s="57">
        <f t="shared" si="3"/>
        <v>15.59487095169434</v>
      </c>
      <c r="D46" s="49">
        <f>'1-Financial Model'!$F$12/12</f>
        <v>1.8333333333333333</v>
      </c>
      <c r="E46" s="66">
        <f>(1-'1-Financial Model'!$F$16)^(1/12)-1</f>
        <v>-4.2653187775606449E-3</v>
      </c>
      <c r="F46" s="49">
        <f t="shared" si="4"/>
        <v>28.361687189123774</v>
      </c>
      <c r="G46" s="59">
        <f>F46*'1-Financial Model'!$D$21*30000/32*5%</f>
        <v>63813.796175528492</v>
      </c>
    </row>
    <row r="47" spans="2:7" x14ac:dyDescent="0.2">
      <c r="B47" s="7" t="s">
        <v>62</v>
      </c>
      <c r="C47" s="57">
        <f t="shared" si="3"/>
        <v>15.528353855790442</v>
      </c>
      <c r="D47" s="49">
        <f>'1-Financial Model'!$F$12/12</f>
        <v>1.8333333333333333</v>
      </c>
      <c r="E47" s="66">
        <f>(1-'1-Financial Model'!$F$16)^(1/12)-1</f>
        <v>-4.2653187775606449E-3</v>
      </c>
      <c r="F47" s="49">
        <f t="shared" si="4"/>
        <v>30.128787143171397</v>
      </c>
      <c r="G47" s="59">
        <f>F47*'1-Financial Model'!$D$21*30000/32*5%</f>
        <v>67789.771072135642</v>
      </c>
    </row>
    <row r="48" spans="2:7" x14ac:dyDescent="0.2">
      <c r="B48" s="7" t="s">
        <v>63</v>
      </c>
      <c r="C48" s="57">
        <f t="shared" si="3"/>
        <v>15.462120476504733</v>
      </c>
      <c r="D48" s="49">
        <f>'1-Financial Model'!$F$12/12</f>
        <v>1.8333333333333333</v>
      </c>
      <c r="E48" s="66">
        <f>(1-'1-Financial Model'!$F$16)^(1/12)-1</f>
        <v>-4.2653187775606449E-3</v>
      </c>
      <c r="F48" s="49">
        <f t="shared" si="4"/>
        <v>31.896169603695387</v>
      </c>
      <c r="G48" s="59">
        <f>F48*'1-Financial Model'!$D$21*30000/32*5%</f>
        <v>71766.381608314623</v>
      </c>
    </row>
    <row r="49" spans="2:7" x14ac:dyDescent="0.2">
      <c r="B49" s="7" t="s">
        <v>64</v>
      </c>
      <c r="C49" s="57">
        <f t="shared" si="3"/>
        <v>15.396169603695393</v>
      </c>
      <c r="D49" s="49">
        <f>'1-Financial Model'!$F$12/12</f>
        <v>1.8333333333333333</v>
      </c>
      <c r="E49" s="66">
        <f>(1-'1-Financial Model'!$F$16)^(1/12)-1</f>
        <v>-4.2653187775606449E-3</v>
      </c>
      <c r="F49" s="49">
        <f t="shared" si="4"/>
        <v>33.663833365715568</v>
      </c>
      <c r="G49" s="59">
        <f>F49*'1-Financial Model'!$D$21*30000/32*5%</f>
        <v>75743.625072860028</v>
      </c>
    </row>
    <row r="50" spans="2:7" x14ac:dyDescent="0.2">
      <c r="B50" s="7" t="s">
        <v>65</v>
      </c>
      <c r="C50" s="57">
        <f t="shared" si="3"/>
        <v>15.330500032382242</v>
      </c>
      <c r="D50" s="49">
        <f>'1-Financial Model'!$F$12/12</f>
        <v>1.8333333333333333</v>
      </c>
      <c r="E50" s="66">
        <f>(1-'1-Financial Model'!$F$16)^(1/12)-1</f>
        <v>-4.2653187775606449E-3</v>
      </c>
      <c r="F50" s="49">
        <f t="shared" si="4"/>
        <v>35.431777229391393</v>
      </c>
      <c r="G50" s="59">
        <f>F50*'1-Financial Model'!$D$21*30000/32*5%</f>
        <v>79721.498766130637</v>
      </c>
    </row>
    <row r="51" spans="2:7" x14ac:dyDescent="0.2">
      <c r="B51" s="7" t="s">
        <v>66</v>
      </c>
      <c r="C51" s="57">
        <f t="shared" si="3"/>
        <v>15.265110562724727</v>
      </c>
      <c r="D51" s="49">
        <f>'1-Financial Model'!$F$12/12</f>
        <v>1.8333333333333333</v>
      </c>
      <c r="E51" s="66">
        <f>(1-'1-Financial Model'!$F$16)^(1/12)-1</f>
        <v>-4.2653187775606449E-3</v>
      </c>
      <c r="F51" s="49">
        <f t="shared" si="4"/>
        <v>37.200000000000003</v>
      </c>
      <c r="G51" s="59">
        <f>F51*'1-Financial Model'!$D$21*30000/32*5%</f>
        <v>83700.000000000015</v>
      </c>
    </row>
    <row r="52" spans="2:7" x14ac:dyDescent="0.2">
      <c r="B52" s="51" t="s">
        <v>71</v>
      </c>
      <c r="C52" s="52"/>
      <c r="D52" s="56">
        <f>SUM(D40:D51)</f>
        <v>21.999999999999996</v>
      </c>
      <c r="E52" s="65"/>
      <c r="F52" s="56">
        <f>F51</f>
        <v>37.200000000000003</v>
      </c>
      <c r="G52" s="60">
        <f>SUM(G40:G51)</f>
        <v>741958.31728441629</v>
      </c>
    </row>
    <row r="53" spans="2:7" x14ac:dyDescent="0.2">
      <c r="B53" s="13"/>
      <c r="C53" s="41"/>
      <c r="D53" s="41"/>
      <c r="E53" s="41"/>
      <c r="F53" s="41"/>
      <c r="G53" s="41"/>
    </row>
    <row r="54" spans="2:7" x14ac:dyDescent="0.2">
      <c r="B54" s="44" t="s">
        <v>22</v>
      </c>
      <c r="C54" s="45"/>
      <c r="D54" s="45"/>
      <c r="E54" s="62"/>
      <c r="F54" s="45"/>
      <c r="G54" s="45"/>
    </row>
    <row r="55" spans="2:7" x14ac:dyDescent="0.2">
      <c r="B55" s="8" t="s">
        <v>52</v>
      </c>
    </row>
    <row r="56" spans="2:7" x14ac:dyDescent="0.2">
      <c r="B56" s="7" t="s">
        <v>53</v>
      </c>
      <c r="C56" s="57">
        <f>F52</f>
        <v>37.200000000000003</v>
      </c>
      <c r="D56" s="49">
        <f>'1-Financial Model'!$G$12/12</f>
        <v>2.8333333333333335</v>
      </c>
      <c r="E56" s="66">
        <f>(1-'1-Financial Model'!$F$16)^(1/12)-1</f>
        <v>-4.2653187775606449E-3</v>
      </c>
      <c r="F56" s="49">
        <f>C56+C56*E56+D56</f>
        <v>39.874663474808081</v>
      </c>
      <c r="G56" s="59">
        <f>F56*'1-Financial Model'!$D$21*30000/32*5%</f>
        <v>89717.992818318191</v>
      </c>
    </row>
    <row r="57" spans="2:7" x14ac:dyDescent="0.2">
      <c r="B57" s="7" t="s">
        <v>54</v>
      </c>
      <c r="C57" s="57">
        <f>C56+C56*E57</f>
        <v>37.041330141474745</v>
      </c>
      <c r="D57" s="49">
        <f>'1-Financial Model'!$G$12/12</f>
        <v>2.8333333333333335</v>
      </c>
      <c r="E57" s="66">
        <f>(1-'1-Financial Model'!$F$16)^(1/12)-1</f>
        <v>-4.2653187775606449E-3</v>
      </c>
      <c r="F57" s="49">
        <f>F56+C57*E57+D57</f>
        <v>42.550003727143164</v>
      </c>
      <c r="G57" s="59">
        <f>F57*'1-Financial Model'!$D$21*30000/32*5%</f>
        <v>95737.508386072121</v>
      </c>
    </row>
    <row r="58" spans="2:7" x14ac:dyDescent="0.2">
      <c r="B58" s="7" t="s">
        <v>57</v>
      </c>
      <c r="C58" s="57">
        <f t="shared" ref="C58:C67" si="5">C57+C57*E58</f>
        <v>36.883337060476492</v>
      </c>
      <c r="D58" s="49">
        <f>'1-Financial Model'!$G$12/12</f>
        <v>2.8333333333333335</v>
      </c>
      <c r="E58" s="66">
        <f>(1-'1-Financial Model'!$F$16)^(1/12)-1</f>
        <v>-4.2653187775606449E-3</v>
      </c>
      <c r="F58" s="49">
        <f t="shared" ref="F58:F67" si="6">F57+C58*E58+D58</f>
        <v>45.226017870333351</v>
      </c>
      <c r="G58" s="59">
        <f>F58*'1-Financial Model'!$D$21*30000/32*5%</f>
        <v>101758.54020825005</v>
      </c>
    </row>
    <row r="59" spans="2:7" x14ac:dyDescent="0.2">
      <c r="B59" s="7" t="s">
        <v>58</v>
      </c>
      <c r="C59" s="57">
        <f t="shared" si="5"/>
        <v>36.726017870333344</v>
      </c>
      <c r="D59" s="49">
        <f>'1-Financial Model'!$G$12/12</f>
        <v>2.8333333333333335</v>
      </c>
      <c r="E59" s="66">
        <f>(1-'1-Financial Model'!$F$16)^(1/12)-1</f>
        <v>-4.2653187775606449E-3</v>
      </c>
      <c r="F59" s="49">
        <f t="shared" si="6"/>
        <v>47.902703030019325</v>
      </c>
      <c r="G59" s="59">
        <f>F59*'1-Financial Model'!$D$21*30000/32*5%</f>
        <v>107781.08181754348</v>
      </c>
    </row>
    <row r="60" spans="2:7" x14ac:dyDescent="0.2">
      <c r="B60" s="7" t="s">
        <v>59</v>
      </c>
      <c r="C60" s="57">
        <f t="shared" si="5"/>
        <v>36.569369696685982</v>
      </c>
      <c r="D60" s="49">
        <f>'1-Financial Model'!$G$12/12</f>
        <v>2.8333333333333335</v>
      </c>
      <c r="E60" s="66">
        <f>(1-'1-Financial Model'!$F$16)^(1/12)-1</f>
        <v>-4.2653187775606449E-3</v>
      </c>
      <c r="F60" s="49">
        <f t="shared" si="6"/>
        <v>50.580056344101827</v>
      </c>
      <c r="G60" s="59">
        <f>F60*'1-Financial Model'!$D$21*30000/32*5%</f>
        <v>113805.12677422911</v>
      </c>
    </row>
    <row r="61" spans="2:7" x14ac:dyDescent="0.2">
      <c r="B61" s="7" t="s">
        <v>60</v>
      </c>
      <c r="C61" s="57">
        <f t="shared" si="5"/>
        <v>36.413389677435148</v>
      </c>
      <c r="D61" s="49">
        <f>'1-Financial Model'!$G$12/12</f>
        <v>2.8333333333333335</v>
      </c>
      <c r="E61" s="66">
        <f>(1-'1-Financial Model'!$F$16)^(1/12)-1</f>
        <v>-4.2653187775606449E-3</v>
      </c>
      <c r="F61" s="49">
        <f t="shared" si="6"/>
        <v>53.258074962689363</v>
      </c>
      <c r="G61" s="59">
        <f>F61*'1-Financial Model'!$D$21*30000/32*5%</f>
        <v>119830.66866605107</v>
      </c>
    </row>
    <row r="62" spans="2:7" x14ac:dyDescent="0.2">
      <c r="B62" s="7" t="s">
        <v>61</v>
      </c>
      <c r="C62" s="57">
        <f t="shared" si="5"/>
        <v>36.258074962689349</v>
      </c>
      <c r="D62" s="49">
        <f>'1-Financial Model'!$G$12/12</f>
        <v>2.8333333333333335</v>
      </c>
      <c r="E62" s="66">
        <f>(1-'1-Financial Model'!$F$16)^(1/12)-1</f>
        <v>-4.2653187775606449E-3</v>
      </c>
      <c r="F62" s="49">
        <f t="shared" si="6"/>
        <v>55.936756048046142</v>
      </c>
      <c r="G62" s="59">
        <f>F62*'1-Financial Model'!$D$21*30000/32*5%</f>
        <v>125857.70110810384</v>
      </c>
    </row>
    <row r="63" spans="2:7" x14ac:dyDescent="0.2">
      <c r="B63" s="7" t="s">
        <v>62</v>
      </c>
      <c r="C63" s="57">
        <f t="shared" si="5"/>
        <v>36.103422714712792</v>
      </c>
      <c r="D63" s="49">
        <f>'1-Financial Model'!$G$12/12</f>
        <v>2.8333333333333335</v>
      </c>
      <c r="E63" s="66">
        <f>(1-'1-Financial Model'!$F$16)^(1/12)-1</f>
        <v>-4.2653187775606449E-3</v>
      </c>
      <c r="F63" s="49">
        <f t="shared" si="6"/>
        <v>58.616096774540203</v>
      </c>
      <c r="G63" s="59">
        <f>F63*'1-Financial Model'!$D$21*30000/32*5%</f>
        <v>131886.21774271547</v>
      </c>
    </row>
    <row r="64" spans="2:7" x14ac:dyDescent="0.2">
      <c r="B64" s="7" t="s">
        <v>63</v>
      </c>
      <c r="C64" s="57">
        <f t="shared" si="5"/>
        <v>35.949430107873518</v>
      </c>
      <c r="D64" s="49">
        <f>'1-Financial Model'!$G$12/12</f>
        <v>2.8333333333333335</v>
      </c>
      <c r="E64" s="66">
        <f>(1-'1-Financial Model'!$F$16)^(1/12)-1</f>
        <v>-4.2653187775606449E-3</v>
      </c>
      <c r="F64" s="49">
        <f t="shared" si="6"/>
        <v>61.29609432859182</v>
      </c>
      <c r="G64" s="59">
        <f>F64*'1-Financial Model'!$D$21*30000/32*5%</f>
        <v>137916.21223933159</v>
      </c>
    </row>
    <row r="65" spans="2:7" x14ac:dyDescent="0.2">
      <c r="B65" s="7" t="s">
        <v>64</v>
      </c>
      <c r="C65" s="57">
        <f t="shared" si="5"/>
        <v>35.796094328591799</v>
      </c>
      <c r="D65" s="49">
        <f>'1-Financial Model'!$G$12/12</f>
        <v>2.8333333333333335</v>
      </c>
      <c r="E65" s="66">
        <f>(1-'1-Financial Model'!$F$16)^(1/12)-1</f>
        <v>-4.2653187775606449E-3</v>
      </c>
      <c r="F65" s="49">
        <f t="shared" si="6"/>
        <v>63.976745908622078</v>
      </c>
      <c r="G65" s="59">
        <f>F65*'1-Financial Model'!$D$21*30000/32*5%</f>
        <v>143947.67829439967</v>
      </c>
    </row>
    <row r="66" spans="2:7" x14ac:dyDescent="0.2">
      <c r="B66" s="7" t="s">
        <v>65</v>
      </c>
      <c r="C66" s="57">
        <f t="shared" si="5"/>
        <v>35.643412575288721</v>
      </c>
      <c r="D66" s="49">
        <f>'1-Financial Model'!$G$12/12</f>
        <v>2.8333333333333335</v>
      </c>
      <c r="E66" s="66">
        <f>(1-'1-Financial Model'!$F$16)^(1/12)-1</f>
        <v>-4.2653187775606449E-3</v>
      </c>
      <c r="F66" s="49">
        <f t="shared" si="6"/>
        <v>66.658048725001692</v>
      </c>
      <c r="G66" s="59">
        <f>F66*'1-Financial Model'!$D$21*30000/32*5%</f>
        <v>149980.60963125381</v>
      </c>
    </row>
    <row r="67" spans="2:7" x14ac:dyDescent="0.2">
      <c r="B67" s="7" t="s">
        <v>66</v>
      </c>
      <c r="C67" s="57">
        <f t="shared" si="5"/>
        <v>35.491382058334999</v>
      </c>
      <c r="D67" s="49">
        <f>'1-Financial Model'!$G$12/12</f>
        <v>2.8333333333333335</v>
      </c>
      <c r="E67" s="66">
        <f>(1-'1-Financial Model'!$F$16)^(1/12)-1</f>
        <v>-4.2653187775606449E-3</v>
      </c>
      <c r="F67" s="49">
        <f t="shared" si="6"/>
        <v>69.340000000000032</v>
      </c>
      <c r="G67" s="59">
        <f>F67*'1-Financial Model'!$D$21*30000/32*5%</f>
        <v>156015.00000000009</v>
      </c>
    </row>
    <row r="68" spans="2:7" x14ac:dyDescent="0.2">
      <c r="B68" s="51" t="s">
        <v>72</v>
      </c>
      <c r="C68" s="52"/>
      <c r="D68" s="56">
        <f>SUM(D56:D67)</f>
        <v>33.999999999999993</v>
      </c>
      <c r="E68" s="65"/>
      <c r="F68" s="56">
        <f>F67</f>
        <v>69.340000000000032</v>
      </c>
      <c r="G68" s="60">
        <f>SUM(G56:G67)</f>
        <v>1474234.3376862686</v>
      </c>
    </row>
    <row r="70" spans="2:7" x14ac:dyDescent="0.2">
      <c r="B70" s="44" t="s">
        <v>23</v>
      </c>
      <c r="C70" s="45"/>
      <c r="D70" s="45"/>
      <c r="E70" s="62"/>
      <c r="F70" s="45"/>
      <c r="G70" s="45"/>
    </row>
    <row r="71" spans="2:7" x14ac:dyDescent="0.2">
      <c r="B71" s="8" t="s">
        <v>52</v>
      </c>
    </row>
    <row r="72" spans="2:7" x14ac:dyDescent="0.2">
      <c r="B72" s="7" t="s">
        <v>53</v>
      </c>
      <c r="C72" s="57">
        <f>F68</f>
        <v>69.340000000000032</v>
      </c>
      <c r="D72" s="49">
        <f>'1-Financial Model'!$H$12/12</f>
        <v>3.4166666666666665</v>
      </c>
      <c r="E72" s="66">
        <f>(1-'1-Financial Model'!$F$16)^(1/12)-1</f>
        <v>-4.2653187775606449E-3</v>
      </c>
      <c r="F72" s="49">
        <f>C72+D72+C72*E72</f>
        <v>72.460909462630653</v>
      </c>
      <c r="G72" s="59">
        <f>F72*'1-Financial Model'!$D$21*30000/32*5%</f>
        <v>163037.04629091898</v>
      </c>
    </row>
    <row r="73" spans="2:7" x14ac:dyDescent="0.2">
      <c r="B73" s="7" t="s">
        <v>54</v>
      </c>
      <c r="C73" s="57">
        <f>C72+C72*E72</f>
        <v>69.044242795963982</v>
      </c>
      <c r="D73" s="49">
        <f>'1-Financial Model'!$H$12/12</f>
        <v>3.4166666666666665</v>
      </c>
      <c r="E73" s="66">
        <f>(1-'1-Financial Model'!$F$16)^(1/12)-1</f>
        <v>-4.2653187775606449E-3</v>
      </c>
      <c r="F73" s="49">
        <f>F72+D73+C73*E73</f>
        <v>75.58308042401724</v>
      </c>
      <c r="G73" s="59">
        <f>F73*'1-Financial Model'!$D$21*30000/32*5%</f>
        <v>170061.93095403881</v>
      </c>
    </row>
    <row r="74" spans="2:7" x14ac:dyDescent="0.2">
      <c r="B74" s="7" t="s">
        <v>57</v>
      </c>
      <c r="C74" s="57">
        <f t="shared" ref="C74:C83" si="7">C73+C73*E73</f>
        <v>68.749747090683897</v>
      </c>
      <c r="D74" s="49">
        <f>'1-Financial Model'!$H$12/12</f>
        <v>3.4166666666666665</v>
      </c>
      <c r="E74" s="66">
        <f>(1-'1-Financial Model'!$F$16)^(1/12)-1</f>
        <v>-4.2653187775606449E-3</v>
      </c>
      <c r="F74" s="49">
        <f t="shared" ref="F74:F83" si="8">F73+D74+C74*E74</f>
        <v>78.706507503465474</v>
      </c>
      <c r="G74" s="59">
        <f>F74*'1-Financial Model'!$D$21*30000/32*5%</f>
        <v>177089.64188279732</v>
      </c>
    </row>
    <row r="75" spans="2:7" x14ac:dyDescent="0.2">
      <c r="B75" s="7" t="s">
        <v>58</v>
      </c>
      <c r="C75" s="57">
        <f t="shared" si="7"/>
        <v>68.45650750346546</v>
      </c>
      <c r="D75" s="49">
        <f>'1-Financial Model'!$H$12/12</f>
        <v>3.4166666666666665</v>
      </c>
      <c r="E75" s="66">
        <f>(1-'1-Financial Model'!$F$16)^(1/12)-1</f>
        <v>-4.2653187775606449E-3</v>
      </c>
      <c r="F75" s="49">
        <f t="shared" si="8"/>
        <v>81.831185343231397</v>
      </c>
      <c r="G75" s="59">
        <f>F75*'1-Financial Model'!$D$21*30000/32*5%</f>
        <v>184120.16702227065</v>
      </c>
    </row>
    <row r="76" spans="2:7" x14ac:dyDescent="0.2">
      <c r="B76" s="7" t="s">
        <v>59</v>
      </c>
      <c r="C76" s="57">
        <f t="shared" si="7"/>
        <v>68.164518676564711</v>
      </c>
      <c r="D76" s="49">
        <f>'1-Financial Model'!$H$12/12</f>
        <v>3.4166666666666665</v>
      </c>
      <c r="E76" s="66">
        <f>(1-'1-Financial Model'!$F$16)^(1/12)-1</f>
        <v>-4.2653187775606449E-3</v>
      </c>
      <c r="F76" s="49">
        <f t="shared" si="8"/>
        <v>84.957108608423539</v>
      </c>
      <c r="G76" s="59">
        <f>F76*'1-Financial Model'!$D$21*30000/32*5%</f>
        <v>191153.49436895296</v>
      </c>
    </row>
    <row r="77" spans="2:7" x14ac:dyDescent="0.2">
      <c r="B77" s="7" t="s">
        <v>60</v>
      </c>
      <c r="C77" s="57">
        <f t="shared" si="7"/>
        <v>67.873775275090182</v>
      </c>
      <c r="D77" s="49">
        <f>'1-Financial Model'!$H$12/12</f>
        <v>3.4166666666666665</v>
      </c>
      <c r="E77" s="66">
        <f>(1-'1-Financial Model'!$F$16)^(1/12)-1</f>
        <v>-4.2653187775606449E-3</v>
      </c>
      <c r="F77" s="49">
        <f t="shared" si="8"/>
        <v>88.084271986905435</v>
      </c>
      <c r="G77" s="59">
        <f>F77*'1-Financial Model'!$D$21*30000/32*5%</f>
        <v>198189.61197053723</v>
      </c>
    </row>
    <row r="78" spans="2:7" x14ac:dyDescent="0.2">
      <c r="B78" s="7" t="s">
        <v>61</v>
      </c>
      <c r="C78" s="57">
        <f t="shared" si="7"/>
        <v>67.584271986905406</v>
      </c>
      <c r="D78" s="49">
        <f>'1-Financial Model'!$H$12/12</f>
        <v>3.4166666666666665</v>
      </c>
      <c r="E78" s="66">
        <f>(1-'1-Financial Model'!$F$16)^(1/12)-1</f>
        <v>-4.2653187775606449E-3</v>
      </c>
      <c r="F78" s="49">
        <f t="shared" si="8"/>
        <v>91.21267018919859</v>
      </c>
      <c r="G78" s="59">
        <f>F78*'1-Financial Model'!$D$21*30000/32*5%</f>
        <v>205228.50792569682</v>
      </c>
    </row>
    <row r="79" spans="2:7" x14ac:dyDescent="0.2">
      <c r="B79" s="7" t="s">
        <v>62</v>
      </c>
      <c r="C79" s="57">
        <f t="shared" si="7"/>
        <v>67.29600352253189</v>
      </c>
      <c r="D79" s="49">
        <f>'1-Financial Model'!$H$12/12</f>
        <v>3.4166666666666665</v>
      </c>
      <c r="E79" s="66">
        <f>(1-'1-Financial Model'!$F$16)^(1/12)-1</f>
        <v>-4.2653187775606449E-3</v>
      </c>
      <c r="F79" s="49">
        <f t="shared" si="8"/>
        <v>94.34229794838582</v>
      </c>
      <c r="G79" s="59">
        <f>F79*'1-Financial Model'!$D$21*30000/32*5%</f>
        <v>212270.1703838681</v>
      </c>
    </row>
    <row r="80" spans="2:7" x14ac:dyDescent="0.2">
      <c r="B80" s="7" t="s">
        <v>63</v>
      </c>
      <c r="C80" s="57">
        <f t="shared" si="7"/>
        <v>67.008964615052449</v>
      </c>
      <c r="D80" s="49">
        <f>'1-Financial Model'!$H$12/12</f>
        <v>3.4166666666666665</v>
      </c>
      <c r="E80" s="66">
        <f>(1-'1-Financial Model'!$F$16)^(1/12)-1</f>
        <v>-4.2653187775606449E-3</v>
      </c>
      <c r="F80" s="49">
        <f t="shared" si="8"/>
        <v>97.473150020015012</v>
      </c>
      <c r="G80" s="59">
        <f>F80*'1-Financial Model'!$D$21*30000/32*5%</f>
        <v>219314.58754503378</v>
      </c>
    </row>
    <row r="81" spans="2:7" x14ac:dyDescent="0.2">
      <c r="B81" s="7" t="s">
        <v>64</v>
      </c>
      <c r="C81" s="57">
        <f t="shared" si="7"/>
        <v>66.72315002001497</v>
      </c>
      <c r="D81" s="49">
        <f>'1-Financial Model'!$H$12/12</f>
        <v>3.4166666666666665</v>
      </c>
      <c r="E81" s="66">
        <f>(1-'1-Financial Model'!$F$16)^(1/12)-1</f>
        <v>-4.2653187775606449E-3</v>
      </c>
      <c r="F81" s="49">
        <f t="shared" si="8"/>
        <v>100.60522118200332</v>
      </c>
      <c r="G81" s="59">
        <f>F81*'1-Financial Model'!$D$21*30000/32*5%</f>
        <v>226361.74765950744</v>
      </c>
    </row>
    <row r="82" spans="2:7" x14ac:dyDescent="0.2">
      <c r="B82" s="7" t="s">
        <v>65</v>
      </c>
      <c r="C82" s="57">
        <f t="shared" si="7"/>
        <v>66.438554515336605</v>
      </c>
      <c r="D82" s="49">
        <f>'1-Financial Model'!$H$12/12</f>
        <v>3.4166666666666665</v>
      </c>
      <c r="E82" s="66">
        <f>(1-'1-Financial Model'!$F$16)^(1/12)-1</f>
        <v>-4.2653187775606449E-3</v>
      </c>
      <c r="F82" s="49">
        <f t="shared" si="8"/>
        <v>103.73850623454175</v>
      </c>
      <c r="G82" s="59">
        <f>F82*'1-Financial Model'!$D$21*30000/32*5%</f>
        <v>233411.63902771892</v>
      </c>
    </row>
    <row r="83" spans="2:7" x14ac:dyDescent="0.2">
      <c r="B83" s="7" t="s">
        <v>66</v>
      </c>
      <c r="C83" s="57">
        <f t="shared" si="7"/>
        <v>66.15517290120836</v>
      </c>
      <c r="D83" s="49">
        <f>'1-Financial Model'!$H$12/12</f>
        <v>3.4166666666666665</v>
      </c>
      <c r="E83" s="66">
        <f>(1-'1-Financial Model'!$F$16)^(1/12)-1</f>
        <v>-4.2653187775606449E-3</v>
      </c>
      <c r="F83" s="49">
        <f t="shared" si="8"/>
        <v>106.87300000000012</v>
      </c>
      <c r="G83" s="59">
        <f>F83*'1-Financial Model'!$D$21*30000/32*5%</f>
        <v>240464.25000000029</v>
      </c>
    </row>
    <row r="84" spans="2:7" x14ac:dyDescent="0.2">
      <c r="B84" s="51" t="s">
        <v>73</v>
      </c>
      <c r="C84" s="52"/>
      <c r="D84" s="56">
        <f>SUM(D72:D83)</f>
        <v>41</v>
      </c>
      <c r="E84" s="65"/>
      <c r="F84" s="56">
        <f>F83</f>
        <v>106.87300000000012</v>
      </c>
      <c r="G84" s="60">
        <f>SUM(G72:G83)</f>
        <v>2420702.7950313413</v>
      </c>
    </row>
    <row r="86" spans="2:7" ht="16" thickBot="1" x14ac:dyDescent="0.25">
      <c r="B86" s="113" t="s">
        <v>157</v>
      </c>
      <c r="C86" s="114"/>
      <c r="D86" s="114"/>
      <c r="E86" s="115"/>
      <c r="F86" s="114"/>
      <c r="G86" s="112">
        <f>G20+G36+G52+G68+G84</f>
        <v>5005895.4500020258</v>
      </c>
    </row>
    <row r="87" spans="2:7" x14ac:dyDescent="0.2">
      <c r="B87" s="8"/>
    </row>
    <row r="88" spans="2:7" ht="16" thickBot="1" x14ac:dyDescent="0.25">
      <c r="B88" s="143" t="s">
        <v>158</v>
      </c>
      <c r="C88" s="143"/>
      <c r="D88" s="143"/>
      <c r="E88" s="143"/>
      <c r="F88" s="143"/>
      <c r="G88" s="143"/>
    </row>
    <row r="89" spans="2:7" ht="16" thickTop="1" x14ac:dyDescent="0.2">
      <c r="B89" s="44" t="s">
        <v>21</v>
      </c>
      <c r="C89" s="45"/>
      <c r="D89" s="45"/>
      <c r="E89" s="62"/>
      <c r="F89" s="45"/>
      <c r="G89" s="45"/>
    </row>
    <row r="90" spans="2:7" x14ac:dyDescent="0.2">
      <c r="B90" s="8" t="s">
        <v>52</v>
      </c>
    </row>
    <row r="91" spans="2:7" x14ac:dyDescent="0.2">
      <c r="B91" s="7" t="s">
        <v>53</v>
      </c>
      <c r="C91" s="47">
        <v>0</v>
      </c>
      <c r="D91" s="49">
        <f>'1-Financial Model'!$F$18/12</f>
        <v>0.41666666666666669</v>
      </c>
      <c r="E91" s="47">
        <v>0</v>
      </c>
      <c r="F91" s="49">
        <f>C91+D91+C91*E91</f>
        <v>0.41666666666666669</v>
      </c>
      <c r="G91" s="59">
        <f>F91*'1-Financial Model'!$D$21*30000/32*5%</f>
        <v>937.5</v>
      </c>
    </row>
    <row r="92" spans="2:7" x14ac:dyDescent="0.2">
      <c r="B92" s="7" t="s">
        <v>54</v>
      </c>
      <c r="C92" s="47">
        <v>0</v>
      </c>
      <c r="D92" s="49">
        <f>'1-Financial Model'!$F$18/12</f>
        <v>0.41666666666666669</v>
      </c>
      <c r="E92" s="47">
        <v>0</v>
      </c>
      <c r="F92" s="49">
        <f>F91+D92+C92*E92</f>
        <v>0.83333333333333337</v>
      </c>
      <c r="G92" s="59">
        <f>F92*'1-Financial Model'!$D$21*30000/32*5%</f>
        <v>1875</v>
      </c>
    </row>
    <row r="93" spans="2:7" x14ac:dyDescent="0.2">
      <c r="B93" s="7" t="s">
        <v>57</v>
      </c>
      <c r="C93" s="47">
        <v>0</v>
      </c>
      <c r="D93" s="49">
        <f>'1-Financial Model'!$F$18/12</f>
        <v>0.41666666666666669</v>
      </c>
      <c r="E93" s="47">
        <v>0</v>
      </c>
      <c r="F93" s="49">
        <f t="shared" ref="F93:F102" si="9">F92+D93+C93*E93</f>
        <v>1.25</v>
      </c>
      <c r="G93" s="59">
        <f>F93*'1-Financial Model'!$D$21*30000/32*5%</f>
        <v>2812.5</v>
      </c>
    </row>
    <row r="94" spans="2:7" x14ac:dyDescent="0.2">
      <c r="B94" s="7" t="s">
        <v>58</v>
      </c>
      <c r="C94" s="47">
        <v>0</v>
      </c>
      <c r="D94" s="49">
        <f>'1-Financial Model'!$F$18/12</f>
        <v>0.41666666666666669</v>
      </c>
      <c r="E94" s="47">
        <v>0</v>
      </c>
      <c r="F94" s="49">
        <f t="shared" si="9"/>
        <v>1.6666666666666667</v>
      </c>
      <c r="G94" s="59">
        <f>F94*'1-Financial Model'!$D$21*30000/32*5%</f>
        <v>3750</v>
      </c>
    </row>
    <row r="95" spans="2:7" x14ac:dyDescent="0.2">
      <c r="B95" s="7" t="s">
        <v>59</v>
      </c>
      <c r="C95" s="47">
        <v>0</v>
      </c>
      <c r="D95" s="49">
        <f>'1-Financial Model'!$F$18/12</f>
        <v>0.41666666666666669</v>
      </c>
      <c r="E95" s="47">
        <v>0</v>
      </c>
      <c r="F95" s="49">
        <f t="shared" si="9"/>
        <v>2.0833333333333335</v>
      </c>
      <c r="G95" s="59">
        <f>F95*'1-Financial Model'!$D$21*30000/32*5%</f>
        <v>4687.5</v>
      </c>
    </row>
    <row r="96" spans="2:7" x14ac:dyDescent="0.2">
      <c r="B96" s="7" t="s">
        <v>60</v>
      </c>
      <c r="C96" s="47">
        <v>0</v>
      </c>
      <c r="D96" s="49">
        <f>'1-Financial Model'!$F$18/12</f>
        <v>0.41666666666666669</v>
      </c>
      <c r="E96" s="47">
        <v>0</v>
      </c>
      <c r="F96" s="49">
        <f t="shared" si="9"/>
        <v>2.5</v>
      </c>
      <c r="G96" s="59">
        <f>F96*'1-Financial Model'!$D$21*30000/32*5%</f>
        <v>5625</v>
      </c>
    </row>
    <row r="97" spans="2:7" x14ac:dyDescent="0.2">
      <c r="B97" s="7" t="s">
        <v>61</v>
      </c>
      <c r="C97" s="47">
        <v>0</v>
      </c>
      <c r="D97" s="49">
        <f>'1-Financial Model'!$F$18/12</f>
        <v>0.41666666666666669</v>
      </c>
      <c r="E97" s="47">
        <v>0</v>
      </c>
      <c r="F97" s="49">
        <f t="shared" si="9"/>
        <v>2.9166666666666665</v>
      </c>
      <c r="G97" s="59">
        <f>F97*'1-Financial Model'!$D$21*30000/32*5%</f>
        <v>6562.5</v>
      </c>
    </row>
    <row r="98" spans="2:7" x14ac:dyDescent="0.2">
      <c r="B98" s="7" t="s">
        <v>62</v>
      </c>
      <c r="C98" s="47">
        <v>0</v>
      </c>
      <c r="D98" s="49">
        <f>'1-Financial Model'!$F$18/12</f>
        <v>0.41666666666666669</v>
      </c>
      <c r="E98" s="47">
        <v>0</v>
      </c>
      <c r="F98" s="49">
        <f t="shared" si="9"/>
        <v>3.333333333333333</v>
      </c>
      <c r="G98" s="59">
        <f>F98*'1-Financial Model'!$D$21*30000/32*5%</f>
        <v>7500</v>
      </c>
    </row>
    <row r="99" spans="2:7" x14ac:dyDescent="0.2">
      <c r="B99" s="7" t="s">
        <v>63</v>
      </c>
      <c r="C99" s="47">
        <v>0</v>
      </c>
      <c r="D99" s="49">
        <f>'1-Financial Model'!$F$18/12</f>
        <v>0.41666666666666669</v>
      </c>
      <c r="E99" s="47">
        <v>0</v>
      </c>
      <c r="F99" s="49">
        <f t="shared" si="9"/>
        <v>3.7499999999999996</v>
      </c>
      <c r="G99" s="59">
        <f>F99*'1-Financial Model'!$D$21*30000/32*5%</f>
        <v>8437.4999999999982</v>
      </c>
    </row>
    <row r="100" spans="2:7" x14ac:dyDescent="0.2">
      <c r="B100" s="7" t="s">
        <v>64</v>
      </c>
      <c r="C100" s="47">
        <v>0</v>
      </c>
      <c r="D100" s="49">
        <f>'1-Financial Model'!$F$18/12</f>
        <v>0.41666666666666669</v>
      </c>
      <c r="E100" s="47">
        <v>0</v>
      </c>
      <c r="F100" s="49">
        <f t="shared" si="9"/>
        <v>4.1666666666666661</v>
      </c>
      <c r="G100" s="59">
        <f>F100*'1-Financial Model'!$D$21*30000/32*5%</f>
        <v>9374.9999999999982</v>
      </c>
    </row>
    <row r="101" spans="2:7" x14ac:dyDescent="0.2">
      <c r="B101" s="7" t="s">
        <v>65</v>
      </c>
      <c r="C101" s="47">
        <v>0</v>
      </c>
      <c r="D101" s="49">
        <f>'1-Financial Model'!$F$18/12</f>
        <v>0.41666666666666669</v>
      </c>
      <c r="E101" s="47">
        <v>0</v>
      </c>
      <c r="F101" s="49">
        <f t="shared" si="9"/>
        <v>4.583333333333333</v>
      </c>
      <c r="G101" s="59">
        <f>F101*'1-Financial Model'!$D$21*30000/32*5%</f>
        <v>10312.5</v>
      </c>
    </row>
    <row r="102" spans="2:7" x14ac:dyDescent="0.2">
      <c r="B102" s="7" t="s">
        <v>66</v>
      </c>
      <c r="C102" s="47">
        <v>0</v>
      </c>
      <c r="D102" s="49">
        <f>'1-Financial Model'!$F$18/12</f>
        <v>0.41666666666666669</v>
      </c>
      <c r="E102" s="47">
        <v>0</v>
      </c>
      <c r="F102" s="49">
        <f t="shared" si="9"/>
        <v>5</v>
      </c>
      <c r="G102" s="59">
        <f>F102*'1-Financial Model'!$D$21*30000/32*5%</f>
        <v>11250</v>
      </c>
    </row>
    <row r="103" spans="2:7" x14ac:dyDescent="0.2">
      <c r="B103" s="51" t="s">
        <v>71</v>
      </c>
      <c r="C103" s="52"/>
      <c r="D103" s="56">
        <f>SUM(D91:D102)</f>
        <v>5</v>
      </c>
      <c r="E103" s="65"/>
      <c r="F103" s="56">
        <f>F102</f>
        <v>5</v>
      </c>
      <c r="G103" s="60">
        <f>SUM(G91:G102)</f>
        <v>73125</v>
      </c>
    </row>
    <row r="104" spans="2:7" x14ac:dyDescent="0.2">
      <c r="B104" s="13"/>
      <c r="C104" s="41"/>
      <c r="D104" s="41"/>
      <c r="E104" s="41"/>
      <c r="F104" s="41"/>
      <c r="G104" s="41"/>
    </row>
    <row r="105" spans="2:7" x14ac:dyDescent="0.2">
      <c r="B105" s="44" t="s">
        <v>22</v>
      </c>
      <c r="C105" s="45"/>
      <c r="D105" s="45"/>
      <c r="E105" s="62"/>
      <c r="F105" s="45"/>
      <c r="G105" s="45"/>
    </row>
    <row r="106" spans="2:7" x14ac:dyDescent="0.2">
      <c r="B106" s="8" t="s">
        <v>52</v>
      </c>
    </row>
    <row r="107" spans="2:7" x14ac:dyDescent="0.2">
      <c r="B107" s="7" t="s">
        <v>53</v>
      </c>
      <c r="C107" s="57">
        <f>F103</f>
        <v>5</v>
      </c>
      <c r="D107" s="49">
        <f>('1-Financial Model'!$G$18-'1-Financial Model'!$F$18)/12+'1-Financial Model'!$G$19/12</f>
        <v>1.25</v>
      </c>
      <c r="E107" s="47">
        <v>0</v>
      </c>
      <c r="F107" s="49">
        <f>C107+D107+C107*E107</f>
        <v>6.25</v>
      </c>
      <c r="G107" s="59">
        <f>F107*'1-Financial Model'!$D$21*30000/32*5%</f>
        <v>14062.5</v>
      </c>
    </row>
    <row r="108" spans="2:7" x14ac:dyDescent="0.2">
      <c r="B108" s="7" t="s">
        <v>54</v>
      </c>
      <c r="C108" s="57">
        <f>C107+C107*E107</f>
        <v>5</v>
      </c>
      <c r="D108" s="49">
        <f>('1-Financial Model'!$G$18-'1-Financial Model'!$F$18)/12+'1-Financial Model'!$G$19/12</f>
        <v>1.25</v>
      </c>
      <c r="E108" s="47">
        <v>0</v>
      </c>
      <c r="F108" s="49">
        <f>F107+D108+C108*E108</f>
        <v>7.5</v>
      </c>
      <c r="G108" s="59">
        <f>F108*'1-Financial Model'!$D$21*30000/32*5%</f>
        <v>16875</v>
      </c>
    </row>
    <row r="109" spans="2:7" x14ac:dyDescent="0.2">
      <c r="B109" s="7" t="s">
        <v>57</v>
      </c>
      <c r="C109" s="57">
        <f t="shared" ref="C109:C118" si="10">C108+C108*E108</f>
        <v>5</v>
      </c>
      <c r="D109" s="49">
        <f>('1-Financial Model'!$G$18-'1-Financial Model'!$F$18)/12+'1-Financial Model'!$G$19/12</f>
        <v>1.25</v>
      </c>
      <c r="E109" s="47">
        <v>0</v>
      </c>
      <c r="F109" s="49">
        <f t="shared" ref="F109:F118" si="11">F108+D109+C109*E109</f>
        <v>8.75</v>
      </c>
      <c r="G109" s="59">
        <f>F109*'1-Financial Model'!$D$21*30000/32*5%</f>
        <v>19687.5</v>
      </c>
    </row>
    <row r="110" spans="2:7" x14ac:dyDescent="0.2">
      <c r="B110" s="7" t="s">
        <v>58</v>
      </c>
      <c r="C110" s="57">
        <f t="shared" si="10"/>
        <v>5</v>
      </c>
      <c r="D110" s="49">
        <f>('1-Financial Model'!$G$18-'1-Financial Model'!$F$18)/12+'1-Financial Model'!$G$19/12</f>
        <v>1.25</v>
      </c>
      <c r="E110" s="47">
        <v>0</v>
      </c>
      <c r="F110" s="49">
        <f t="shared" si="11"/>
        <v>10</v>
      </c>
      <c r="G110" s="59">
        <f>F110*'1-Financial Model'!$D$21*30000/32*5%</f>
        <v>22500</v>
      </c>
    </row>
    <row r="111" spans="2:7" x14ac:dyDescent="0.2">
      <c r="B111" s="7" t="s">
        <v>59</v>
      </c>
      <c r="C111" s="57">
        <f t="shared" si="10"/>
        <v>5</v>
      </c>
      <c r="D111" s="49">
        <f>('1-Financial Model'!$G$18-'1-Financial Model'!$F$18)/12+'1-Financial Model'!$G$19/12</f>
        <v>1.25</v>
      </c>
      <c r="E111" s="47">
        <v>0</v>
      </c>
      <c r="F111" s="49">
        <f t="shared" si="11"/>
        <v>11.25</v>
      </c>
      <c r="G111" s="59">
        <f>F111*'1-Financial Model'!$D$21*30000/32*5%</f>
        <v>25312.5</v>
      </c>
    </row>
    <row r="112" spans="2:7" x14ac:dyDescent="0.2">
      <c r="B112" s="7" t="s">
        <v>60</v>
      </c>
      <c r="C112" s="57">
        <f t="shared" si="10"/>
        <v>5</v>
      </c>
      <c r="D112" s="49">
        <f>('1-Financial Model'!$G$18-'1-Financial Model'!$F$18)/12+'1-Financial Model'!$G$19/12</f>
        <v>1.25</v>
      </c>
      <c r="E112" s="47">
        <v>0</v>
      </c>
      <c r="F112" s="49">
        <f t="shared" si="11"/>
        <v>12.5</v>
      </c>
      <c r="G112" s="59">
        <f>F112*'1-Financial Model'!$D$21*30000/32*5%</f>
        <v>28125</v>
      </c>
    </row>
    <row r="113" spans="2:7" x14ac:dyDescent="0.2">
      <c r="B113" s="7" t="s">
        <v>61</v>
      </c>
      <c r="C113" s="57">
        <f t="shared" si="10"/>
        <v>5</v>
      </c>
      <c r="D113" s="49">
        <f>('1-Financial Model'!$G$18-'1-Financial Model'!$F$18)/12+'1-Financial Model'!$G$19/12</f>
        <v>1.25</v>
      </c>
      <c r="E113" s="47">
        <v>0</v>
      </c>
      <c r="F113" s="49">
        <f t="shared" si="11"/>
        <v>13.75</v>
      </c>
      <c r="G113" s="59">
        <f>F113*'1-Financial Model'!$D$21*30000/32*5%</f>
        <v>30937.5</v>
      </c>
    </row>
    <row r="114" spans="2:7" x14ac:dyDescent="0.2">
      <c r="B114" s="7" t="s">
        <v>62</v>
      </c>
      <c r="C114" s="57">
        <f t="shared" si="10"/>
        <v>5</v>
      </c>
      <c r="D114" s="49">
        <f>('1-Financial Model'!$G$18-'1-Financial Model'!$F$18)/12+'1-Financial Model'!$G$19/12</f>
        <v>1.25</v>
      </c>
      <c r="E114" s="47">
        <v>0</v>
      </c>
      <c r="F114" s="49">
        <f t="shared" si="11"/>
        <v>15</v>
      </c>
      <c r="G114" s="59">
        <f>F114*'1-Financial Model'!$D$21*30000/32*5%</f>
        <v>33750</v>
      </c>
    </row>
    <row r="115" spans="2:7" x14ac:dyDescent="0.2">
      <c r="B115" s="7" t="s">
        <v>63</v>
      </c>
      <c r="C115" s="57">
        <f t="shared" si="10"/>
        <v>5</v>
      </c>
      <c r="D115" s="49">
        <f>('1-Financial Model'!$G$18-'1-Financial Model'!$F$18)/12+'1-Financial Model'!$G$19/12</f>
        <v>1.25</v>
      </c>
      <c r="E115" s="47">
        <v>0</v>
      </c>
      <c r="F115" s="49">
        <f t="shared" si="11"/>
        <v>16.25</v>
      </c>
      <c r="G115" s="59">
        <f>F115*'1-Financial Model'!$D$21*30000/32*5%</f>
        <v>36562.5</v>
      </c>
    </row>
    <row r="116" spans="2:7" x14ac:dyDescent="0.2">
      <c r="B116" s="7" t="s">
        <v>64</v>
      </c>
      <c r="C116" s="57">
        <f t="shared" si="10"/>
        <v>5</v>
      </c>
      <c r="D116" s="49">
        <f>('1-Financial Model'!$G$18-'1-Financial Model'!$F$18)/12+'1-Financial Model'!$G$19/12</f>
        <v>1.25</v>
      </c>
      <c r="E116" s="47">
        <v>0</v>
      </c>
      <c r="F116" s="49">
        <f t="shared" si="11"/>
        <v>17.5</v>
      </c>
      <c r="G116" s="59">
        <f>F116*'1-Financial Model'!$D$21*30000/32*5%</f>
        <v>39375</v>
      </c>
    </row>
    <row r="117" spans="2:7" x14ac:dyDescent="0.2">
      <c r="B117" s="7" t="s">
        <v>65</v>
      </c>
      <c r="C117" s="57">
        <f t="shared" si="10"/>
        <v>5</v>
      </c>
      <c r="D117" s="49">
        <f>('1-Financial Model'!$G$18-'1-Financial Model'!$F$18)/12+'1-Financial Model'!$G$19/12</f>
        <v>1.25</v>
      </c>
      <c r="E117" s="47">
        <v>0</v>
      </c>
      <c r="F117" s="49">
        <f t="shared" si="11"/>
        <v>18.75</v>
      </c>
      <c r="G117" s="59">
        <f>F117*'1-Financial Model'!$D$21*30000/32*5%</f>
        <v>42187.5</v>
      </c>
    </row>
    <row r="118" spans="2:7" x14ac:dyDescent="0.2">
      <c r="B118" s="7" t="s">
        <v>66</v>
      </c>
      <c r="C118" s="57">
        <f t="shared" si="10"/>
        <v>5</v>
      </c>
      <c r="D118" s="49">
        <f>('1-Financial Model'!$G$18-'1-Financial Model'!$F$18)/12+'1-Financial Model'!$G$19/12</f>
        <v>1.25</v>
      </c>
      <c r="E118" s="47">
        <v>0</v>
      </c>
      <c r="F118" s="49">
        <f t="shared" si="11"/>
        <v>20</v>
      </c>
      <c r="G118" s="59">
        <f>F118*'1-Financial Model'!$D$21*30000/32*5%</f>
        <v>45000</v>
      </c>
    </row>
    <row r="119" spans="2:7" x14ac:dyDescent="0.2">
      <c r="B119" s="51" t="s">
        <v>72</v>
      </c>
      <c r="C119" s="52"/>
      <c r="D119" s="56">
        <f>SUM(D107:D118)</f>
        <v>15</v>
      </c>
      <c r="E119" s="65"/>
      <c r="F119" s="56">
        <f>F118</f>
        <v>20</v>
      </c>
      <c r="G119" s="60">
        <f>SUM(G107:G118)</f>
        <v>354375</v>
      </c>
    </row>
    <row r="121" spans="2:7" x14ac:dyDescent="0.2">
      <c r="B121" s="44" t="s">
        <v>23</v>
      </c>
      <c r="C121" s="45"/>
      <c r="D121" s="45"/>
      <c r="E121" s="62"/>
      <c r="F121" s="45"/>
      <c r="G121" s="45"/>
    </row>
    <row r="122" spans="2:7" x14ac:dyDescent="0.2">
      <c r="B122" s="8" t="s">
        <v>52</v>
      </c>
    </row>
    <row r="123" spans="2:7" x14ac:dyDescent="0.2">
      <c r="B123" s="7" t="s">
        <v>53</v>
      </c>
      <c r="C123" s="57">
        <f>F119</f>
        <v>20</v>
      </c>
      <c r="D123" s="49">
        <f>('1-Financial Model'!$H$18-'1-Financial Model'!$G$18+'1-Financial Model'!$H$19-'1-Financial Model'!$G$19)/12</f>
        <v>1.25</v>
      </c>
      <c r="E123" s="47">
        <v>0</v>
      </c>
      <c r="F123" s="49">
        <f>C123+D123+C123*E123</f>
        <v>21.25</v>
      </c>
      <c r="G123" s="59">
        <f>F123*'1-Financial Model'!$D$21*30000/32*5%</f>
        <v>47812.5</v>
      </c>
    </row>
    <row r="124" spans="2:7" x14ac:dyDescent="0.2">
      <c r="B124" s="7" t="s">
        <v>54</v>
      </c>
      <c r="C124" s="57">
        <f>C123+C123*E123</f>
        <v>20</v>
      </c>
      <c r="D124" s="49">
        <f>('1-Financial Model'!$H$18-'1-Financial Model'!$G$18+'1-Financial Model'!$H$19-'1-Financial Model'!$G$19)/12</f>
        <v>1.25</v>
      </c>
      <c r="E124" s="47">
        <v>0</v>
      </c>
      <c r="F124" s="49">
        <f>F123+D124+C124*E124</f>
        <v>22.5</v>
      </c>
      <c r="G124" s="59">
        <f>F124*'1-Financial Model'!$D$21*30000/32*5%</f>
        <v>50625</v>
      </c>
    </row>
    <row r="125" spans="2:7" x14ac:dyDescent="0.2">
      <c r="B125" s="7" t="s">
        <v>57</v>
      </c>
      <c r="C125" s="57">
        <f t="shared" ref="C125:C134" si="12">C124+C124*E124</f>
        <v>20</v>
      </c>
      <c r="D125" s="49">
        <f>('1-Financial Model'!$H$18-'1-Financial Model'!$G$18+'1-Financial Model'!$H$19-'1-Financial Model'!$G$19)/12</f>
        <v>1.25</v>
      </c>
      <c r="E125" s="47">
        <v>0</v>
      </c>
      <c r="F125" s="49">
        <f t="shared" ref="F125:F134" si="13">F124+D125+C125*E125</f>
        <v>23.75</v>
      </c>
      <c r="G125" s="59">
        <f>F125*'1-Financial Model'!$D$21*30000/32*5%</f>
        <v>53437.5</v>
      </c>
    </row>
    <row r="126" spans="2:7" x14ac:dyDescent="0.2">
      <c r="B126" s="7" t="s">
        <v>58</v>
      </c>
      <c r="C126" s="57">
        <f t="shared" si="12"/>
        <v>20</v>
      </c>
      <c r="D126" s="49">
        <f>('1-Financial Model'!$H$18-'1-Financial Model'!$G$18+'1-Financial Model'!$H$19-'1-Financial Model'!$G$19)/12</f>
        <v>1.25</v>
      </c>
      <c r="E126" s="47">
        <v>0</v>
      </c>
      <c r="F126" s="49">
        <f t="shared" si="13"/>
        <v>25</v>
      </c>
      <c r="G126" s="59">
        <f>F126*'1-Financial Model'!$D$21*30000/32*5%</f>
        <v>56250</v>
      </c>
    </row>
    <row r="127" spans="2:7" x14ac:dyDescent="0.2">
      <c r="B127" s="7" t="s">
        <v>59</v>
      </c>
      <c r="C127" s="57">
        <f t="shared" si="12"/>
        <v>20</v>
      </c>
      <c r="D127" s="49">
        <f>('1-Financial Model'!$H$18-'1-Financial Model'!$G$18+'1-Financial Model'!$H$19-'1-Financial Model'!$G$19)/12</f>
        <v>1.25</v>
      </c>
      <c r="E127" s="47">
        <v>0</v>
      </c>
      <c r="F127" s="49">
        <f t="shared" si="13"/>
        <v>26.25</v>
      </c>
      <c r="G127" s="59">
        <f>F127*'1-Financial Model'!$D$21*30000/32*5%</f>
        <v>59062.5</v>
      </c>
    </row>
    <row r="128" spans="2:7" x14ac:dyDescent="0.2">
      <c r="B128" s="7" t="s">
        <v>60</v>
      </c>
      <c r="C128" s="57">
        <f t="shared" si="12"/>
        <v>20</v>
      </c>
      <c r="D128" s="49">
        <f>('1-Financial Model'!$H$18-'1-Financial Model'!$G$18+'1-Financial Model'!$H$19-'1-Financial Model'!$G$19)/12</f>
        <v>1.25</v>
      </c>
      <c r="E128" s="47">
        <v>0</v>
      </c>
      <c r="F128" s="49">
        <f t="shared" si="13"/>
        <v>27.5</v>
      </c>
      <c r="G128" s="59">
        <f>F128*'1-Financial Model'!$D$21*30000/32*5%</f>
        <v>61875</v>
      </c>
    </row>
    <row r="129" spans="2:7" x14ac:dyDescent="0.2">
      <c r="B129" s="7" t="s">
        <v>61</v>
      </c>
      <c r="C129" s="57">
        <f t="shared" si="12"/>
        <v>20</v>
      </c>
      <c r="D129" s="49">
        <f>('1-Financial Model'!$H$18-'1-Financial Model'!$G$18+'1-Financial Model'!$H$19-'1-Financial Model'!$G$19)/12</f>
        <v>1.25</v>
      </c>
      <c r="E129" s="47">
        <v>0</v>
      </c>
      <c r="F129" s="49">
        <f t="shared" si="13"/>
        <v>28.75</v>
      </c>
      <c r="G129" s="59">
        <f>F129*'1-Financial Model'!$D$21*30000/32*5%</f>
        <v>64687.5</v>
      </c>
    </row>
    <row r="130" spans="2:7" x14ac:dyDescent="0.2">
      <c r="B130" s="7" t="s">
        <v>62</v>
      </c>
      <c r="C130" s="57">
        <f t="shared" si="12"/>
        <v>20</v>
      </c>
      <c r="D130" s="49">
        <f>('1-Financial Model'!$H$18-'1-Financial Model'!$G$18+'1-Financial Model'!$H$19-'1-Financial Model'!$G$19)/12</f>
        <v>1.25</v>
      </c>
      <c r="E130" s="47">
        <v>0</v>
      </c>
      <c r="F130" s="49">
        <f t="shared" si="13"/>
        <v>30</v>
      </c>
      <c r="G130" s="59">
        <f>F130*'1-Financial Model'!$D$21*30000/32*5%</f>
        <v>67500</v>
      </c>
    </row>
    <row r="131" spans="2:7" x14ac:dyDescent="0.2">
      <c r="B131" s="7" t="s">
        <v>63</v>
      </c>
      <c r="C131" s="57">
        <f t="shared" si="12"/>
        <v>20</v>
      </c>
      <c r="D131" s="49">
        <f>('1-Financial Model'!$H$18-'1-Financial Model'!$G$18+'1-Financial Model'!$H$19-'1-Financial Model'!$G$19)/12</f>
        <v>1.25</v>
      </c>
      <c r="E131" s="47">
        <v>0</v>
      </c>
      <c r="F131" s="49">
        <f t="shared" si="13"/>
        <v>31.25</v>
      </c>
      <c r="G131" s="59">
        <f>F131*'1-Financial Model'!$D$21*30000/32*5%</f>
        <v>70312.5</v>
      </c>
    </row>
    <row r="132" spans="2:7" x14ac:dyDescent="0.2">
      <c r="B132" s="7" t="s">
        <v>64</v>
      </c>
      <c r="C132" s="57">
        <f t="shared" si="12"/>
        <v>20</v>
      </c>
      <c r="D132" s="49">
        <f>('1-Financial Model'!$H$18-'1-Financial Model'!$G$18+'1-Financial Model'!$H$19-'1-Financial Model'!$G$19)/12</f>
        <v>1.25</v>
      </c>
      <c r="E132" s="47">
        <v>0</v>
      </c>
      <c r="F132" s="49">
        <f t="shared" si="13"/>
        <v>32.5</v>
      </c>
      <c r="G132" s="59">
        <f>F132*'1-Financial Model'!$D$21*30000/32*5%</f>
        <v>73125</v>
      </c>
    </row>
    <row r="133" spans="2:7" x14ac:dyDescent="0.2">
      <c r="B133" s="7" t="s">
        <v>65</v>
      </c>
      <c r="C133" s="57">
        <f t="shared" si="12"/>
        <v>20</v>
      </c>
      <c r="D133" s="49">
        <f>('1-Financial Model'!$H$18-'1-Financial Model'!$G$18+'1-Financial Model'!$H$19-'1-Financial Model'!$G$19)/12</f>
        <v>1.25</v>
      </c>
      <c r="E133" s="47">
        <v>0</v>
      </c>
      <c r="F133" s="49">
        <f t="shared" si="13"/>
        <v>33.75</v>
      </c>
      <c r="G133" s="59">
        <f>F133*'1-Financial Model'!$D$21*30000/32*5%</f>
        <v>75937.5</v>
      </c>
    </row>
    <row r="134" spans="2:7" x14ac:dyDescent="0.2">
      <c r="B134" s="7" t="s">
        <v>66</v>
      </c>
      <c r="C134" s="57">
        <f t="shared" si="12"/>
        <v>20</v>
      </c>
      <c r="D134" s="49">
        <f>('1-Financial Model'!$H$18-'1-Financial Model'!$G$18+'1-Financial Model'!$H$19-'1-Financial Model'!$G$19)/12</f>
        <v>1.25</v>
      </c>
      <c r="E134" s="47">
        <v>0</v>
      </c>
      <c r="F134" s="49">
        <f t="shared" si="13"/>
        <v>35</v>
      </c>
      <c r="G134" s="59">
        <f>F134*'1-Financial Model'!$D$21*30000/32*5%</f>
        <v>78750</v>
      </c>
    </row>
    <row r="135" spans="2:7" x14ac:dyDescent="0.2">
      <c r="B135" s="51" t="s">
        <v>73</v>
      </c>
      <c r="C135" s="52"/>
      <c r="D135" s="56">
        <f>SUM(D123:D134)</f>
        <v>15</v>
      </c>
      <c r="E135" s="65"/>
      <c r="F135" s="56">
        <f>F134</f>
        <v>35</v>
      </c>
      <c r="G135" s="60">
        <f>SUM(G123:G134)</f>
        <v>759375</v>
      </c>
    </row>
    <row r="137" spans="2:7" ht="16" thickBot="1" x14ac:dyDescent="0.25">
      <c r="B137" s="113" t="s">
        <v>159</v>
      </c>
      <c r="C137" s="114"/>
      <c r="D137" s="114"/>
      <c r="E137" s="115"/>
      <c r="F137" s="114"/>
      <c r="G137" s="112">
        <f>G103+G119+G135</f>
        <v>1186875</v>
      </c>
    </row>
    <row r="139" spans="2:7" ht="16" thickBot="1" x14ac:dyDescent="0.25">
      <c r="B139" s="113" t="s">
        <v>46</v>
      </c>
      <c r="C139" s="114"/>
      <c r="D139" s="114"/>
      <c r="E139" s="115"/>
      <c r="F139" s="114"/>
      <c r="G139" s="112">
        <f>G86+G137</f>
        <v>6192770.4500020258</v>
      </c>
    </row>
  </sheetData>
  <mergeCells count="3">
    <mergeCell ref="B2:G2"/>
    <mergeCell ref="B5:G5"/>
    <mergeCell ref="B88:G88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73C7-6F11-AB4C-B9F1-E3E5D52FAE40}">
  <dimension ref="B2:K28"/>
  <sheetViews>
    <sheetView showGridLines="0" zoomScale="118" zoomScaleNormal="100" workbookViewId="0">
      <pane ySplit="4" topLeftCell="A5" activePane="bottomLeft" state="frozenSplit"/>
      <selection pane="bottomLeft" activeCell="G30" sqref="G30"/>
    </sheetView>
  </sheetViews>
  <sheetFormatPr baseColWidth="10" defaultColWidth="10.83203125" defaultRowHeight="15" x14ac:dyDescent="0.2"/>
  <cols>
    <col min="1" max="1" width="5.5" style="5" customWidth="1"/>
    <col min="2" max="2" width="53.1640625" style="5" customWidth="1"/>
    <col min="3" max="3" width="4.5" style="19" customWidth="1"/>
    <col min="4" max="4" width="12.5" style="19" customWidth="1"/>
    <col min="5" max="9" width="22.33203125" style="5" customWidth="1"/>
    <col min="10" max="13" width="10.83203125" style="5"/>
    <col min="14" max="14" width="10.83203125" style="5" customWidth="1"/>
    <col min="15" max="16384" width="10.83203125" style="5"/>
  </cols>
  <sheetData>
    <row r="2" spans="2:11" ht="16" customHeight="1" x14ac:dyDescent="0.2">
      <c r="B2" s="144" t="s">
        <v>79</v>
      </c>
      <c r="C2" s="144"/>
      <c r="D2" s="144"/>
      <c r="E2" s="144"/>
      <c r="F2" s="144"/>
      <c r="G2" s="144"/>
      <c r="H2" s="144"/>
      <c r="I2" s="144"/>
    </row>
    <row r="3" spans="2:11" x14ac:dyDescent="0.2">
      <c r="B3" s="68"/>
      <c r="C3" s="67"/>
      <c r="D3" s="67"/>
      <c r="E3" s="69">
        <v>2027</v>
      </c>
      <c r="F3" s="69">
        <v>2028</v>
      </c>
      <c r="G3" s="69">
        <v>2029</v>
      </c>
      <c r="H3" s="69">
        <v>2030</v>
      </c>
      <c r="I3" s="69">
        <v>2031</v>
      </c>
    </row>
    <row r="4" spans="2:11" x14ac:dyDescent="0.2">
      <c r="B4" s="70" t="s">
        <v>0</v>
      </c>
      <c r="C4" s="71" t="s">
        <v>11</v>
      </c>
      <c r="D4" s="71" t="s">
        <v>105</v>
      </c>
      <c r="E4" s="72" t="s">
        <v>19</v>
      </c>
      <c r="F4" s="72" t="s">
        <v>20</v>
      </c>
      <c r="G4" s="72" t="s">
        <v>21</v>
      </c>
      <c r="H4" s="72" t="s">
        <v>22</v>
      </c>
      <c r="I4" s="72" t="s">
        <v>23</v>
      </c>
      <c r="K4" s="5" t="s">
        <v>44</v>
      </c>
    </row>
    <row r="5" spans="2:11" x14ac:dyDescent="0.2">
      <c r="B5" s="73" t="s">
        <v>84</v>
      </c>
      <c r="C5" s="74"/>
      <c r="D5" s="74"/>
      <c r="E5" s="75"/>
      <c r="F5" s="75"/>
      <c r="G5" s="75"/>
      <c r="H5" s="75"/>
      <c r="I5" s="75"/>
    </row>
    <row r="6" spans="2:11" x14ac:dyDescent="0.2">
      <c r="B6" s="8" t="s">
        <v>80</v>
      </c>
    </row>
    <row r="7" spans="2:11" x14ac:dyDescent="0.2">
      <c r="B7" s="7" t="s">
        <v>106</v>
      </c>
      <c r="C7" s="19" t="s">
        <v>10</v>
      </c>
      <c r="E7" s="78">
        <v>1</v>
      </c>
      <c r="F7" s="78">
        <v>1</v>
      </c>
      <c r="G7" s="78">
        <v>1</v>
      </c>
      <c r="H7" s="78">
        <v>1</v>
      </c>
      <c r="I7" s="78">
        <v>1</v>
      </c>
      <c r="K7" s="32"/>
    </row>
    <row r="8" spans="2:11" x14ac:dyDescent="0.2">
      <c r="B8" s="7" t="s">
        <v>107</v>
      </c>
      <c r="C8" s="19" t="s">
        <v>10</v>
      </c>
      <c r="E8" s="78">
        <v>1</v>
      </c>
      <c r="F8" s="78">
        <v>1</v>
      </c>
      <c r="G8" s="78">
        <v>1</v>
      </c>
      <c r="H8" s="78">
        <v>2</v>
      </c>
      <c r="I8" s="78">
        <v>2</v>
      </c>
    </row>
    <row r="9" spans="2:11" x14ac:dyDescent="0.2">
      <c r="B9" s="8" t="s">
        <v>81</v>
      </c>
      <c r="E9" s="79"/>
      <c r="F9" s="79"/>
      <c r="G9" s="79"/>
      <c r="H9" s="79"/>
      <c r="I9" s="79"/>
    </row>
    <row r="10" spans="2:11" x14ac:dyDescent="0.2">
      <c r="B10" s="7" t="s">
        <v>170</v>
      </c>
      <c r="C10" s="19" t="s">
        <v>10</v>
      </c>
      <c r="E10" s="78">
        <v>2</v>
      </c>
      <c r="F10" s="78">
        <v>2</v>
      </c>
      <c r="G10" s="78">
        <v>3</v>
      </c>
      <c r="H10" s="78">
        <v>3</v>
      </c>
      <c r="I10" s="78">
        <v>4</v>
      </c>
      <c r="K10" s="5" t="s">
        <v>90</v>
      </c>
    </row>
    <row r="11" spans="2:11" x14ac:dyDescent="0.2">
      <c r="B11" s="7" t="s">
        <v>171</v>
      </c>
      <c r="C11" s="19" t="s">
        <v>10</v>
      </c>
      <c r="E11" s="137">
        <v>0</v>
      </c>
      <c r="F11" s="137">
        <v>0</v>
      </c>
      <c r="G11" s="78">
        <v>2</v>
      </c>
      <c r="H11" s="78">
        <v>2</v>
      </c>
      <c r="I11" s="78">
        <v>3</v>
      </c>
    </row>
    <row r="12" spans="2:11" x14ac:dyDescent="0.2">
      <c r="B12" s="7" t="s">
        <v>172</v>
      </c>
      <c r="C12" s="19" t="s">
        <v>10</v>
      </c>
      <c r="E12" s="137">
        <v>0</v>
      </c>
      <c r="F12" s="137">
        <v>0</v>
      </c>
      <c r="G12" s="137">
        <v>0</v>
      </c>
      <c r="H12" s="78">
        <v>2</v>
      </c>
      <c r="I12" s="78">
        <v>2</v>
      </c>
    </row>
    <row r="13" spans="2:11" x14ac:dyDescent="0.2">
      <c r="B13" s="8" t="s">
        <v>82</v>
      </c>
      <c r="E13" s="79"/>
      <c r="F13" s="79"/>
      <c r="G13" s="79"/>
      <c r="H13" s="79"/>
      <c r="I13" s="79"/>
    </row>
    <row r="14" spans="2:11" x14ac:dyDescent="0.2">
      <c r="B14" s="7" t="s">
        <v>173</v>
      </c>
      <c r="C14" s="19" t="s">
        <v>10</v>
      </c>
      <c r="E14" s="80">
        <v>1</v>
      </c>
      <c r="F14" s="80">
        <v>1</v>
      </c>
      <c r="G14" s="80">
        <v>1</v>
      </c>
      <c r="H14" s="80">
        <v>2</v>
      </c>
      <c r="I14" s="80">
        <v>2</v>
      </c>
    </row>
    <row r="15" spans="2:11" x14ac:dyDescent="0.2">
      <c r="B15" s="7" t="s">
        <v>174</v>
      </c>
      <c r="C15" s="19" t="s">
        <v>10</v>
      </c>
      <c r="E15" s="137">
        <v>0</v>
      </c>
      <c r="F15" s="137">
        <v>0</v>
      </c>
      <c r="G15" s="80">
        <v>1</v>
      </c>
      <c r="H15" s="80">
        <v>1</v>
      </c>
      <c r="I15" s="80">
        <v>1</v>
      </c>
    </row>
    <row r="16" spans="2:11" x14ac:dyDescent="0.2">
      <c r="B16" s="7" t="s">
        <v>175</v>
      </c>
      <c r="C16" s="19" t="s">
        <v>10</v>
      </c>
      <c r="E16" s="137">
        <v>0</v>
      </c>
      <c r="F16" s="137">
        <v>0</v>
      </c>
      <c r="G16" s="137">
        <v>0</v>
      </c>
      <c r="H16" s="80">
        <v>1</v>
      </c>
      <c r="I16" s="80">
        <v>1</v>
      </c>
    </row>
    <row r="17" spans="2:11" x14ac:dyDescent="0.2">
      <c r="B17" s="50" t="s">
        <v>32</v>
      </c>
      <c r="C17" s="82" t="s">
        <v>10</v>
      </c>
      <c r="D17" s="82"/>
      <c r="E17" s="83">
        <f>SUM(E7:E14)</f>
        <v>5</v>
      </c>
      <c r="F17" s="83">
        <f t="shared" ref="F17" si="0">SUM(F7:F14)</f>
        <v>5</v>
      </c>
      <c r="G17" s="83">
        <f>SUM(G7:G16)</f>
        <v>9</v>
      </c>
      <c r="H17" s="83">
        <f>SUM(H7:H16)</f>
        <v>14</v>
      </c>
      <c r="I17" s="83">
        <f>SUM(I7:I16)</f>
        <v>16</v>
      </c>
    </row>
    <row r="18" spans="2:11" x14ac:dyDescent="0.2">
      <c r="B18" s="73" t="s">
        <v>5</v>
      </c>
      <c r="C18" s="74"/>
      <c r="D18" s="74"/>
      <c r="E18" s="75"/>
      <c r="F18" s="75"/>
      <c r="G18" s="75"/>
      <c r="H18" s="75"/>
      <c r="I18" s="75"/>
    </row>
    <row r="19" spans="2:11" x14ac:dyDescent="0.2">
      <c r="B19" s="8" t="s">
        <v>80</v>
      </c>
    </row>
    <row r="20" spans="2:11" x14ac:dyDescent="0.2">
      <c r="B20" s="7" t="s">
        <v>86</v>
      </c>
      <c r="C20" s="19" t="s">
        <v>13</v>
      </c>
      <c r="D20" s="96">
        <v>3000</v>
      </c>
      <c r="E20" s="81">
        <f>D20*E7*12</f>
        <v>36000</v>
      </c>
      <c r="F20" s="81">
        <f>E20*105%/E7*F7</f>
        <v>37800</v>
      </c>
      <c r="G20" s="81">
        <f t="shared" ref="G20:I20" si="1">F20*105%/F7*G7</f>
        <v>39690</v>
      </c>
      <c r="H20" s="81">
        <f t="shared" si="1"/>
        <v>41674.5</v>
      </c>
      <c r="I20" s="81">
        <f t="shared" si="1"/>
        <v>43758.224999999999</v>
      </c>
      <c r="K20" s="5" t="s">
        <v>104</v>
      </c>
    </row>
    <row r="21" spans="2:11" x14ac:dyDescent="0.2">
      <c r="B21" s="7" t="s">
        <v>87</v>
      </c>
      <c r="C21" s="19" t="s">
        <v>13</v>
      </c>
      <c r="D21" s="96">
        <v>3000</v>
      </c>
      <c r="E21" s="81">
        <f>D21*E8*12</f>
        <v>36000</v>
      </c>
      <c r="F21" s="81">
        <f>E21*105%/E8*F8</f>
        <v>37800</v>
      </c>
      <c r="G21" s="81">
        <f t="shared" ref="G21:I21" si="2">F21*105%/F8*G8</f>
        <v>39690</v>
      </c>
      <c r="H21" s="81">
        <f t="shared" si="2"/>
        <v>83349</v>
      </c>
      <c r="I21" s="81">
        <f t="shared" si="2"/>
        <v>87516.45</v>
      </c>
    </row>
    <row r="22" spans="2:11" x14ac:dyDescent="0.2">
      <c r="B22" s="8" t="s">
        <v>81</v>
      </c>
      <c r="D22" s="96"/>
      <c r="E22" s="81"/>
      <c r="F22" s="81"/>
      <c r="G22" s="81"/>
      <c r="H22" s="81"/>
      <c r="I22" s="81"/>
    </row>
    <row r="23" spans="2:11" x14ac:dyDescent="0.2">
      <c r="B23" s="7" t="s">
        <v>108</v>
      </c>
      <c r="C23" s="19" t="s">
        <v>13</v>
      </c>
      <c r="D23" s="96">
        <v>1500</v>
      </c>
      <c r="E23" s="81">
        <f>D23*SUM(E10:E12)*12</f>
        <v>36000</v>
      </c>
      <c r="F23" s="81">
        <f>$D$23*12*SUM(F10:F12)</f>
        <v>36000</v>
      </c>
      <c r="G23" s="81">
        <f t="shared" ref="G23:I23" si="3">$D$23*12*SUM(G10:G12)</f>
        <v>90000</v>
      </c>
      <c r="H23" s="81">
        <f t="shared" si="3"/>
        <v>126000</v>
      </c>
      <c r="I23" s="81">
        <f t="shared" si="3"/>
        <v>162000</v>
      </c>
    </row>
    <row r="24" spans="2:11" x14ac:dyDescent="0.2">
      <c r="B24" s="7" t="s">
        <v>109</v>
      </c>
      <c r="C24" s="19" t="s">
        <v>13</v>
      </c>
      <c r="D24" s="96"/>
      <c r="E24" s="81">
        <f>10%*'1-Financial Model'!D24</f>
        <v>1927.5</v>
      </c>
      <c r="F24" s="81">
        <f>10%*'1-Financial Model'!E24</f>
        <v>4240.5</v>
      </c>
      <c r="G24" s="81">
        <f>10%*'1-Financial Model'!F24</f>
        <v>10408.5</v>
      </c>
      <c r="H24" s="81">
        <f>10%*'1-Financial Model'!G24</f>
        <v>18889.5</v>
      </c>
      <c r="I24" s="81">
        <f>10%*'1-Financial Model'!H24</f>
        <v>21588</v>
      </c>
      <c r="K24" s="5" t="s">
        <v>129</v>
      </c>
    </row>
    <row r="25" spans="2:11" x14ac:dyDescent="0.2">
      <c r="B25" s="93" t="s">
        <v>32</v>
      </c>
      <c r="C25" s="94"/>
      <c r="D25" s="97"/>
      <c r="E25" s="95">
        <f>SUM(E23:E24)</f>
        <v>37927.5</v>
      </c>
      <c r="F25" s="95">
        <f t="shared" ref="F25:I25" si="4">SUM(F23:F24)</f>
        <v>40240.5</v>
      </c>
      <c r="G25" s="95">
        <f t="shared" si="4"/>
        <v>100408.5</v>
      </c>
      <c r="H25" s="95">
        <f t="shared" si="4"/>
        <v>144889.5</v>
      </c>
      <c r="I25" s="95">
        <f t="shared" si="4"/>
        <v>183588</v>
      </c>
    </row>
    <row r="26" spans="2:11" x14ac:dyDescent="0.2">
      <c r="B26" s="8" t="s">
        <v>82</v>
      </c>
      <c r="D26" s="96"/>
      <c r="E26" s="81"/>
      <c r="F26" s="81"/>
      <c r="G26" s="81"/>
      <c r="H26" s="81"/>
      <c r="I26" s="81"/>
    </row>
    <row r="27" spans="2:11" x14ac:dyDescent="0.2">
      <c r="B27" s="7" t="s">
        <v>83</v>
      </c>
      <c r="C27" s="19" t="s">
        <v>13</v>
      </c>
      <c r="D27" s="96">
        <v>1000</v>
      </c>
      <c r="E27" s="81">
        <f>$D$27*SUM(E14:E16)*12</f>
        <v>12000</v>
      </c>
      <c r="F27" s="81">
        <f t="shared" ref="F27:I27" si="5">$D$27*SUM(F14:F16)*12</f>
        <v>12000</v>
      </c>
      <c r="G27" s="81">
        <f t="shared" si="5"/>
        <v>24000</v>
      </c>
      <c r="H27" s="81">
        <f t="shared" si="5"/>
        <v>48000</v>
      </c>
      <c r="I27" s="81">
        <f t="shared" si="5"/>
        <v>48000</v>
      </c>
    </row>
    <row r="28" spans="2:11" ht="16" thickBot="1" x14ac:dyDescent="0.25">
      <c r="B28" s="110" t="s">
        <v>85</v>
      </c>
      <c r="C28" s="111" t="s">
        <v>13</v>
      </c>
      <c r="D28" s="111"/>
      <c r="E28" s="112">
        <f>E20+E21+E25+E27</f>
        <v>121927.5</v>
      </c>
      <c r="F28" s="112">
        <f t="shared" ref="F28:I28" si="6">F20+F21+F25+F27</f>
        <v>127840.5</v>
      </c>
      <c r="G28" s="112">
        <f t="shared" si="6"/>
        <v>203788.5</v>
      </c>
      <c r="H28" s="112">
        <f t="shared" si="6"/>
        <v>317913</v>
      </c>
      <c r="I28" s="112">
        <f t="shared" si="6"/>
        <v>362862.67499999999</v>
      </c>
    </row>
  </sheetData>
  <mergeCells count="1">
    <mergeCell ref="B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BBC8-B0A0-644F-8CA8-F47B7A7C88D8}">
  <dimension ref="A1:F25"/>
  <sheetViews>
    <sheetView showGridLines="0" workbookViewId="0">
      <pane ySplit="2" topLeftCell="A3" activePane="bottomLeft" state="frozen"/>
      <selection pane="bottomLeft" activeCell="E28" sqref="E28"/>
    </sheetView>
  </sheetViews>
  <sheetFormatPr baseColWidth="10" defaultRowHeight="16" x14ac:dyDescent="0.2"/>
  <cols>
    <col min="1" max="1" width="6.33203125" customWidth="1"/>
    <col min="2" max="5" width="24.33203125" customWidth="1"/>
  </cols>
  <sheetData>
    <row r="1" spans="1:6" ht="19" customHeight="1" x14ac:dyDescent="0.2">
      <c r="A1" s="76"/>
      <c r="B1" s="76"/>
      <c r="C1" s="76"/>
      <c r="D1" s="76"/>
      <c r="E1" s="76"/>
    </row>
    <row r="2" spans="1:6" x14ac:dyDescent="0.2">
      <c r="B2" s="135" t="s">
        <v>24</v>
      </c>
      <c r="C2" s="135" t="s">
        <v>25</v>
      </c>
      <c r="D2" s="135" t="s">
        <v>33</v>
      </c>
      <c r="E2" s="135" t="s">
        <v>26</v>
      </c>
      <c r="F2" s="135" t="s">
        <v>34</v>
      </c>
    </row>
    <row r="3" spans="1:6" ht="17" thickBot="1" x14ac:dyDescent="0.25">
      <c r="B3" s="145" t="s">
        <v>149</v>
      </c>
      <c r="C3" s="145"/>
      <c r="D3" s="145"/>
      <c r="E3" s="145"/>
      <c r="F3" s="145"/>
    </row>
    <row r="4" spans="1:6" ht="17" thickTop="1" x14ac:dyDescent="0.2">
      <c r="B4" t="s">
        <v>27</v>
      </c>
      <c r="C4">
        <v>2</v>
      </c>
      <c r="D4">
        <v>18</v>
      </c>
      <c r="E4" s="27">
        <v>0.15</v>
      </c>
      <c r="F4">
        <f>C4*D4*E4</f>
        <v>5.3999999999999995</v>
      </c>
    </row>
    <row r="5" spans="1:6" x14ac:dyDescent="0.2">
      <c r="B5" t="s">
        <v>28</v>
      </c>
      <c r="C5">
        <v>2</v>
      </c>
      <c r="D5">
        <v>28</v>
      </c>
      <c r="E5" s="27">
        <v>0.2</v>
      </c>
      <c r="F5">
        <f t="shared" ref="F5:F8" si="0">C5*D5*E5</f>
        <v>11.200000000000001</v>
      </c>
    </row>
    <row r="6" spans="1:6" x14ac:dyDescent="0.2">
      <c r="B6" t="s">
        <v>29</v>
      </c>
      <c r="C6">
        <v>3</v>
      </c>
      <c r="D6">
        <v>34</v>
      </c>
      <c r="E6" s="27">
        <v>0.22</v>
      </c>
      <c r="F6">
        <f t="shared" si="0"/>
        <v>22.44</v>
      </c>
    </row>
    <row r="7" spans="1:6" x14ac:dyDescent="0.2">
      <c r="B7" t="s">
        <v>30</v>
      </c>
      <c r="C7">
        <v>3</v>
      </c>
      <c r="D7">
        <v>50</v>
      </c>
      <c r="E7" s="27">
        <v>0.23</v>
      </c>
      <c r="F7">
        <f t="shared" si="0"/>
        <v>34.5</v>
      </c>
    </row>
    <row r="8" spans="1:6" x14ac:dyDescent="0.2">
      <c r="A8" s="77"/>
      <c r="B8" t="s">
        <v>31</v>
      </c>
      <c r="C8">
        <v>4</v>
      </c>
      <c r="D8">
        <v>40</v>
      </c>
      <c r="E8" s="27">
        <v>0.25</v>
      </c>
      <c r="F8" s="28">
        <f t="shared" si="0"/>
        <v>40</v>
      </c>
    </row>
    <row r="9" spans="1:6" ht="17" thickBot="1" x14ac:dyDescent="0.25">
      <c r="B9" s="108" t="s">
        <v>32</v>
      </c>
      <c r="C9" s="109"/>
      <c r="D9" s="109"/>
      <c r="E9" s="109"/>
      <c r="F9" s="108">
        <f>SUM(F4:F8)</f>
        <v>113.54</v>
      </c>
    </row>
    <row r="11" spans="1:6" ht="17" thickBot="1" x14ac:dyDescent="0.25">
      <c r="B11" s="145" t="s">
        <v>168</v>
      </c>
      <c r="C11" s="145"/>
      <c r="D11" s="145"/>
      <c r="E11" s="145"/>
      <c r="F11" s="145"/>
    </row>
    <row r="12" spans="1:6" ht="17" thickTop="1" x14ac:dyDescent="0.2">
      <c r="B12" t="s">
        <v>27</v>
      </c>
      <c r="C12" s="136">
        <v>0</v>
      </c>
      <c r="D12" s="136">
        <v>0</v>
      </c>
      <c r="E12" s="136">
        <v>0</v>
      </c>
      <c r="F12" s="136">
        <f>C12*D12*E12</f>
        <v>0</v>
      </c>
    </row>
    <row r="13" spans="1:6" x14ac:dyDescent="0.2">
      <c r="B13" t="s">
        <v>28</v>
      </c>
      <c r="C13" s="136">
        <v>0</v>
      </c>
      <c r="D13" s="136">
        <v>0</v>
      </c>
      <c r="E13" s="136">
        <v>0</v>
      </c>
      <c r="F13" s="136">
        <f t="shared" ref="F13:F16" si="1">C13*D13*E13</f>
        <v>0</v>
      </c>
    </row>
    <row r="14" spans="1:6" x14ac:dyDescent="0.2">
      <c r="B14" t="s">
        <v>29</v>
      </c>
      <c r="C14">
        <v>2</v>
      </c>
      <c r="D14">
        <v>17</v>
      </c>
      <c r="E14" s="27">
        <v>0.15</v>
      </c>
      <c r="F14">
        <f t="shared" si="1"/>
        <v>5.0999999999999996</v>
      </c>
    </row>
    <row r="15" spans="1:6" x14ac:dyDescent="0.2">
      <c r="B15" t="s">
        <v>30</v>
      </c>
      <c r="C15">
        <v>2</v>
      </c>
      <c r="D15">
        <v>25</v>
      </c>
      <c r="E15" s="27">
        <v>0.2</v>
      </c>
      <c r="F15">
        <f t="shared" si="1"/>
        <v>10</v>
      </c>
    </row>
    <row r="16" spans="1:6" x14ac:dyDescent="0.2">
      <c r="B16" t="s">
        <v>31</v>
      </c>
      <c r="C16">
        <v>2</v>
      </c>
      <c r="D16">
        <v>25</v>
      </c>
      <c r="E16" s="27">
        <v>0.2</v>
      </c>
      <c r="F16" s="28">
        <f t="shared" si="1"/>
        <v>10</v>
      </c>
    </row>
    <row r="17" spans="2:6" ht="17" thickBot="1" x14ac:dyDescent="0.25">
      <c r="B17" s="108" t="s">
        <v>32</v>
      </c>
      <c r="C17" s="109"/>
      <c r="D17" s="109"/>
      <c r="E17" s="109"/>
      <c r="F17" s="108">
        <f>SUM(F12:F16)</f>
        <v>25.1</v>
      </c>
    </row>
    <row r="19" spans="2:6" ht="17" thickBot="1" x14ac:dyDescent="0.25">
      <c r="B19" s="145" t="s">
        <v>169</v>
      </c>
      <c r="C19" s="145"/>
      <c r="D19" s="145"/>
      <c r="E19" s="145"/>
      <c r="F19" s="145"/>
    </row>
    <row r="20" spans="2:6" ht="17" thickTop="1" x14ac:dyDescent="0.2">
      <c r="B20" t="s">
        <v>27</v>
      </c>
      <c r="C20" s="136">
        <v>0</v>
      </c>
      <c r="D20">
        <v>0</v>
      </c>
      <c r="E20" s="27">
        <v>0</v>
      </c>
      <c r="F20">
        <f>C20*D20*E20</f>
        <v>0</v>
      </c>
    </row>
    <row r="21" spans="2:6" x14ac:dyDescent="0.2">
      <c r="B21" t="s">
        <v>28</v>
      </c>
      <c r="C21" s="136">
        <v>0</v>
      </c>
      <c r="D21">
        <v>0</v>
      </c>
      <c r="E21" s="27">
        <v>0</v>
      </c>
      <c r="F21">
        <f t="shared" ref="F21:F24" si="2">C21*D21*E21</f>
        <v>0</v>
      </c>
    </row>
    <row r="22" spans="2:6" x14ac:dyDescent="0.2">
      <c r="B22" t="s">
        <v>29</v>
      </c>
      <c r="C22" s="136">
        <v>0</v>
      </c>
      <c r="D22">
        <v>0</v>
      </c>
      <c r="E22" s="27">
        <v>0</v>
      </c>
      <c r="F22">
        <f t="shared" si="2"/>
        <v>0</v>
      </c>
    </row>
    <row r="23" spans="2:6" x14ac:dyDescent="0.2">
      <c r="B23" t="s">
        <v>30</v>
      </c>
      <c r="C23">
        <v>2</v>
      </c>
      <c r="D23">
        <v>25</v>
      </c>
      <c r="E23" s="27">
        <v>0.1</v>
      </c>
      <c r="F23">
        <f t="shared" si="2"/>
        <v>5</v>
      </c>
    </row>
    <row r="24" spans="2:6" x14ac:dyDescent="0.2">
      <c r="B24" t="s">
        <v>31</v>
      </c>
      <c r="C24">
        <v>2</v>
      </c>
      <c r="D24">
        <v>25</v>
      </c>
      <c r="E24" s="27">
        <v>0.12</v>
      </c>
      <c r="F24" s="28">
        <f t="shared" si="2"/>
        <v>6</v>
      </c>
    </row>
    <row r="25" spans="2:6" ht="17" thickBot="1" x14ac:dyDescent="0.25">
      <c r="B25" s="108" t="s">
        <v>32</v>
      </c>
      <c r="C25" s="109"/>
      <c r="D25" s="109"/>
      <c r="E25" s="109"/>
      <c r="F25" s="108">
        <f>SUM(F20:F24)</f>
        <v>11</v>
      </c>
    </row>
  </sheetData>
  <mergeCells count="3">
    <mergeCell ref="B3:F3"/>
    <mergeCell ref="B11:F11"/>
    <mergeCell ref="B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0929-B1A6-CB42-A820-1DACC7A23209}">
  <dimension ref="B2:F11"/>
  <sheetViews>
    <sheetView showGridLines="0" zoomScale="101" workbookViewId="0">
      <selection activeCell="H33" sqref="H33"/>
    </sheetView>
  </sheetViews>
  <sheetFormatPr baseColWidth="10" defaultRowHeight="16" x14ac:dyDescent="0.2"/>
  <cols>
    <col min="2" max="6" width="15.6640625" customWidth="1"/>
  </cols>
  <sheetData>
    <row r="2" spans="2:6" ht="17" thickBot="1" x14ac:dyDescent="0.25">
      <c r="B2" s="106" t="s">
        <v>24</v>
      </c>
      <c r="C2" s="106" t="s">
        <v>130</v>
      </c>
      <c r="D2" s="106" t="s">
        <v>132</v>
      </c>
      <c r="E2" s="106" t="s">
        <v>131</v>
      </c>
      <c r="F2" s="106" t="s">
        <v>135</v>
      </c>
    </row>
    <row r="3" spans="2:6" ht="17" thickTop="1" x14ac:dyDescent="0.2">
      <c r="B3">
        <v>0</v>
      </c>
      <c r="C3" s="107">
        <f>-400000</f>
        <v>-400000</v>
      </c>
      <c r="D3" s="27">
        <v>0.2</v>
      </c>
      <c r="E3">
        <f>1/(1+D3)^B3</f>
        <v>1</v>
      </c>
      <c r="F3" s="107">
        <f>C3*E3</f>
        <v>-400000</v>
      </c>
    </row>
    <row r="4" spans="2:6" x14ac:dyDescent="0.2">
      <c r="B4">
        <v>1</v>
      </c>
      <c r="C4" s="107">
        <f>'1-Financial Model'!D70</f>
        <v>-151631.25</v>
      </c>
      <c r="D4" s="27">
        <v>0.2</v>
      </c>
      <c r="E4">
        <f>1/(1+D4)^B4</f>
        <v>0.83333333333333337</v>
      </c>
      <c r="F4" s="107">
        <f t="shared" ref="F4:F8" si="0">C4*E4</f>
        <v>-126359.375</v>
      </c>
    </row>
    <row r="5" spans="2:6" x14ac:dyDescent="0.2">
      <c r="B5">
        <v>2</v>
      </c>
      <c r="C5" s="107">
        <f>'1-Financial Model'!E70</f>
        <v>115216.5975</v>
      </c>
      <c r="D5" s="27">
        <v>0.2</v>
      </c>
      <c r="E5">
        <f t="shared" ref="E5:E8" si="1">1/(1+D5)^B5</f>
        <v>0.69444444444444442</v>
      </c>
      <c r="F5" s="107">
        <f t="shared" si="0"/>
        <v>80011.526041666672</v>
      </c>
    </row>
    <row r="6" spans="2:6" x14ac:dyDescent="0.2">
      <c r="B6">
        <v>3</v>
      </c>
      <c r="C6" s="107">
        <f>'1-Financial Model'!F70</f>
        <v>401496.457197649</v>
      </c>
      <c r="D6" s="27">
        <v>0.2</v>
      </c>
      <c r="E6">
        <f t="shared" si="1"/>
        <v>0.57870370370370372</v>
      </c>
      <c r="F6" s="107">
        <f>C6*E6</f>
        <v>232347.48680419504</v>
      </c>
    </row>
    <row r="7" spans="2:6" x14ac:dyDescent="0.2">
      <c r="B7">
        <v>4</v>
      </c>
      <c r="C7" s="107">
        <f>'1-Financial Model'!G70</f>
        <v>1025570.7731325012</v>
      </c>
      <c r="D7" s="27">
        <v>0.2</v>
      </c>
      <c r="E7">
        <f t="shared" si="1"/>
        <v>0.48225308641975312</v>
      </c>
      <c r="F7" s="107">
        <f>C7*E7</f>
        <v>494584.67068504111</v>
      </c>
    </row>
    <row r="8" spans="2:6" x14ac:dyDescent="0.2">
      <c r="B8">
        <v>5</v>
      </c>
      <c r="C8" s="107">
        <f>'1-Financial Model'!H70</f>
        <v>1918672.5753521044</v>
      </c>
      <c r="D8" s="27">
        <v>0.2</v>
      </c>
      <c r="E8">
        <f t="shared" si="1"/>
        <v>0.4018775720164609</v>
      </c>
      <c r="F8" s="107">
        <f t="shared" si="0"/>
        <v>771071.47607707384</v>
      </c>
    </row>
    <row r="9" spans="2:6" ht="17" thickBot="1" x14ac:dyDescent="0.25">
      <c r="B9" s="108" t="s">
        <v>133</v>
      </c>
      <c r="C9" s="109"/>
      <c r="D9" s="109"/>
      <c r="E9" s="109"/>
      <c r="F9" s="116">
        <f>SUM(F3:F8)</f>
        <v>1051655.7846079767</v>
      </c>
    </row>
    <row r="11" spans="2:6" x14ac:dyDescent="0.2">
      <c r="B11" s="117" t="s">
        <v>134</v>
      </c>
      <c r="C11" s="118">
        <f>IRR(C3:C8)</f>
        <v>0.5894605432346538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E23E-CC87-304C-A628-D9D0146AE47D}">
  <dimension ref="A1:H17"/>
  <sheetViews>
    <sheetView workbookViewId="0">
      <selection activeCell="B9" sqref="B9"/>
    </sheetView>
  </sheetViews>
  <sheetFormatPr baseColWidth="10" defaultRowHeight="16" x14ac:dyDescent="0.2"/>
  <cols>
    <col min="1" max="1" width="24.5" bestFit="1" customWidth="1"/>
    <col min="2" max="2" width="33.83203125" bestFit="1" customWidth="1"/>
  </cols>
  <sheetData>
    <row r="1" spans="1:8" x14ac:dyDescent="0.2">
      <c r="A1" t="s">
        <v>15</v>
      </c>
      <c r="B1" s="25" t="s">
        <v>16</v>
      </c>
    </row>
    <row r="2" spans="1:8" x14ac:dyDescent="0.2">
      <c r="A2" t="s">
        <v>17</v>
      </c>
      <c r="B2" s="25" t="s">
        <v>18</v>
      </c>
    </row>
    <row r="3" spans="1:8" x14ac:dyDescent="0.2">
      <c r="A3" t="s">
        <v>38</v>
      </c>
      <c r="B3" s="25" t="s">
        <v>39</v>
      </c>
    </row>
    <row r="4" spans="1:8" ht="81" customHeight="1" x14ac:dyDescent="0.2">
      <c r="A4" s="31" t="s">
        <v>40</v>
      </c>
      <c r="B4" s="146" t="s">
        <v>43</v>
      </c>
      <c r="C4" s="146"/>
      <c r="D4" s="146"/>
      <c r="E4" s="146"/>
      <c r="F4" s="146"/>
      <c r="G4" s="146"/>
      <c r="H4" s="146"/>
    </row>
    <row r="5" spans="1:8" x14ac:dyDescent="0.2">
      <c r="A5" t="s">
        <v>42</v>
      </c>
      <c r="B5" s="25" t="s">
        <v>41</v>
      </c>
    </row>
    <row r="6" spans="1:8" x14ac:dyDescent="0.2">
      <c r="A6" t="s">
        <v>151</v>
      </c>
    </row>
    <row r="7" spans="1:8" x14ac:dyDescent="0.2">
      <c r="A7" t="s">
        <v>150</v>
      </c>
      <c r="B7" s="25" t="s">
        <v>155</v>
      </c>
    </row>
    <row r="8" spans="1:8" x14ac:dyDescent="0.2">
      <c r="A8" t="s">
        <v>151</v>
      </c>
      <c r="B8" s="25" t="s">
        <v>156</v>
      </c>
    </row>
    <row r="9" spans="1:8" x14ac:dyDescent="0.2">
      <c r="A9" s="117" t="s">
        <v>136</v>
      </c>
      <c r="B9" s="119" t="s">
        <v>137</v>
      </c>
      <c r="C9" t="s">
        <v>145</v>
      </c>
    </row>
    <row r="10" spans="1:8" x14ac:dyDescent="0.2">
      <c r="C10" t="s">
        <v>138</v>
      </c>
    </row>
    <row r="11" spans="1:8" x14ac:dyDescent="0.2">
      <c r="C11" t="s">
        <v>139</v>
      </c>
    </row>
    <row r="12" spans="1:8" x14ac:dyDescent="0.2">
      <c r="C12" t="s">
        <v>140</v>
      </c>
    </row>
    <row r="13" spans="1:8" x14ac:dyDescent="0.2">
      <c r="C13" t="s">
        <v>141</v>
      </c>
    </row>
    <row r="14" spans="1:8" x14ac:dyDescent="0.2">
      <c r="C14" t="s">
        <v>142</v>
      </c>
    </row>
    <row r="15" spans="1:8" x14ac:dyDescent="0.2">
      <c r="C15" t="s">
        <v>143</v>
      </c>
    </row>
    <row r="16" spans="1:8" x14ac:dyDescent="0.2">
      <c r="C16" t="s">
        <v>144</v>
      </c>
    </row>
    <row r="17" spans="2:3" x14ac:dyDescent="0.2">
      <c r="B17" s="120" t="s">
        <v>146</v>
      </c>
      <c r="C17" t="s">
        <v>147</v>
      </c>
    </row>
  </sheetData>
  <mergeCells count="1">
    <mergeCell ref="B4:H4"/>
  </mergeCells>
  <hyperlinks>
    <hyperlink ref="B2" r:id="rId1" xr:uid="{0A664B9A-4E79-1C44-A72A-3E38B0B1EA41}"/>
    <hyperlink ref="B5" r:id="rId2" xr:uid="{D08C2376-23BE-5443-BCCE-A474BDD239F4}"/>
    <hyperlink ref="B3" r:id="rId3" xr:uid="{4BC0AC7E-F2B1-944B-B713-3E6D282AD8CE}"/>
    <hyperlink ref="B4" r:id="rId4" display="https://www.aftygh.gov.tw/english-dep/nursing-home/?utm_source=chatgpt.com" xr:uid="{A1E8A168-15C4-DA44-A0CA-1FA5366B1196}"/>
    <hyperlink ref="B1" r:id="rId5" xr:uid="{FB1CB43D-FA8D-3B4B-8B91-DD8B3BDAD738}"/>
    <hyperlink ref="B7" r:id="rId6" xr:uid="{EF48421E-A677-134A-ADDF-70F3E0BBCB47}"/>
    <hyperlink ref="B8" r:id="rId7" xr:uid="{59707C7B-9F6C-2A48-8ABD-29A11B0DDC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1-Financial Model</vt:lpstr>
      <vt:lpstr>2-Monthly Service Revenue</vt:lpstr>
      <vt:lpstr>3-Human Resource</vt:lpstr>
      <vt:lpstr>4-BD Scaling </vt:lpstr>
      <vt:lpstr>5-NPV IRR</vt:lpstr>
      <vt:lpstr>6-Reference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Phạm Tuấn Anh</cp:lastModifiedBy>
  <dcterms:created xsi:type="dcterms:W3CDTF">2022-08-22T01:16:26Z</dcterms:created>
  <dcterms:modified xsi:type="dcterms:W3CDTF">2026-03-14T05:19:00Z</dcterms:modified>
</cp:coreProperties>
</file>