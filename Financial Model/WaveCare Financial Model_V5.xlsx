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hamtuananh/Downloads/BD &amp; BL/"/>
    </mc:Choice>
  </mc:AlternateContent>
  <xr:revisionPtr revIDLastSave="0" documentId="13_ncr:1_{A5D201BB-CD1F-654D-91B6-834CC1A47F29}" xr6:coauthVersionLast="47" xr6:coauthVersionMax="47" xr10:uidLastSave="{00000000-0000-0000-0000-000000000000}"/>
  <bookViews>
    <workbookView xWindow="1520" yWindow="500" windowWidth="27280" windowHeight="17340" firstSheet="3" activeTab="10" xr2:uid="{51C94CC5-0C2F-6D4D-9C41-E0029B3FD163}"/>
  </bookViews>
  <sheets>
    <sheet name="1-Balance Sheet" sheetId="15" r:id="rId1"/>
    <sheet name="2-Income Statement" sheetId="1" r:id="rId2"/>
    <sheet name="3-Cash Flow Statement" sheetId="16" r:id="rId3"/>
    <sheet name="4-Monthly Service Revenue" sheetId="5" r:id="rId4"/>
    <sheet name="5-Human Resource" sheetId="6" r:id="rId5"/>
    <sheet name="6-BD Scaling " sheetId="3" r:id="rId6"/>
    <sheet name="7-NPV, IRR, TV" sheetId="7" r:id="rId7"/>
    <sheet name="8-Reference" sheetId="2" r:id="rId8"/>
    <sheet name="9-Customer List" sheetId="11" r:id="rId9"/>
    <sheet name="10-Bill of Material (Hardware)" sheetId="12" r:id="rId10"/>
    <sheet name="11-Infrastructure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7" l="1"/>
  <c r="C14" i="7" s="1"/>
  <c r="D49" i="1"/>
  <c r="C13" i="16"/>
  <c r="C8" i="7"/>
  <c r="C7" i="7"/>
  <c r="C6" i="7"/>
  <c r="E25" i="16"/>
  <c r="F25" i="16"/>
  <c r="G25" i="16"/>
  <c r="D13" i="16"/>
  <c r="E13" i="16"/>
  <c r="F13" i="16"/>
  <c r="G13" i="16"/>
  <c r="G13" i="15"/>
  <c r="F13" i="15"/>
  <c r="E13" i="15"/>
  <c r="D13" i="15"/>
  <c r="C13" i="15"/>
  <c r="H68" i="1"/>
  <c r="G8" i="16" s="1"/>
  <c r="G68" i="1"/>
  <c r="F8" i="16" s="1"/>
  <c r="F68" i="1"/>
  <c r="E68" i="1"/>
  <c r="D8" i="16" s="1"/>
  <c r="D68" i="1"/>
  <c r="E8" i="16"/>
  <c r="C8" i="16"/>
  <c r="C19" i="16"/>
  <c r="D19" i="16"/>
  <c r="E19" i="16"/>
  <c r="F19" i="16"/>
  <c r="G19" i="16"/>
  <c r="C14" i="16" l="1"/>
  <c r="D14" i="16" l="1"/>
  <c r="E14" i="16"/>
  <c r="G14" i="16" l="1"/>
  <c r="F14" i="16"/>
  <c r="D20" i="5" l="1"/>
  <c r="C18" i="15"/>
  <c r="D17" i="15"/>
  <c r="E17" i="15"/>
  <c r="F17" i="15"/>
  <c r="G17" i="15"/>
  <c r="C17" i="15"/>
  <c r="D10" i="15"/>
  <c r="E10" i="15"/>
  <c r="F10" i="15"/>
  <c r="G10" i="15"/>
  <c r="C10" i="15"/>
  <c r="C9" i="15"/>
  <c r="C19" i="15" l="1"/>
  <c r="C9" i="16"/>
  <c r="E55" i="1"/>
  <c r="F55" i="1"/>
  <c r="G55" i="1"/>
  <c r="H55" i="1"/>
  <c r="D55" i="1"/>
  <c r="F30" i="6"/>
  <c r="G30" i="6"/>
  <c r="H30" i="6"/>
  <c r="I30" i="6"/>
  <c r="E30" i="6"/>
  <c r="I23" i="6"/>
  <c r="H23" i="6"/>
  <c r="G23" i="6"/>
  <c r="F23" i="6"/>
  <c r="E23" i="6"/>
  <c r="E20" i="6"/>
  <c r="H35" i="1"/>
  <c r="G35" i="1"/>
  <c r="F35" i="1"/>
  <c r="E35" i="1"/>
  <c r="D35" i="1"/>
  <c r="F3" i="13"/>
  <c r="F4" i="13"/>
  <c r="F5" i="13"/>
  <c r="F6" i="13"/>
  <c r="F2" i="13"/>
  <c r="D31" i="1"/>
  <c r="D30" i="1"/>
  <c r="E18" i="1"/>
  <c r="F18" i="1"/>
  <c r="G18" i="1"/>
  <c r="H18" i="1"/>
  <c r="D18" i="1"/>
  <c r="E3" i="13"/>
  <c r="E4" i="13"/>
  <c r="E5" i="13"/>
  <c r="E6" i="13"/>
  <c r="E2" i="13"/>
  <c r="G19" i="5"/>
  <c r="G18" i="5"/>
  <c r="G17" i="5"/>
  <c r="G16" i="5"/>
  <c r="G15" i="5"/>
  <c r="G14" i="5"/>
  <c r="G13" i="5"/>
  <c r="G12" i="5"/>
  <c r="G11" i="5"/>
  <c r="G10" i="5"/>
  <c r="G9" i="5"/>
  <c r="G8" i="5"/>
  <c r="F22" i="6"/>
  <c r="E22" i="6"/>
  <c r="E16" i="6"/>
  <c r="D40" i="1" s="1"/>
  <c r="E21" i="6"/>
  <c r="F21" i="6" s="1"/>
  <c r="G21" i="6" s="1"/>
  <c r="H21" i="6" s="1"/>
  <c r="I21" i="6" s="1"/>
  <c r="D8" i="1" l="1"/>
  <c r="D9" i="1" s="1"/>
  <c r="C3" i="7"/>
  <c r="E25" i="6"/>
  <c r="D33" i="1"/>
  <c r="D11" i="1" l="1"/>
  <c r="F29" i="6" l="1"/>
  <c r="G29" i="6"/>
  <c r="H29" i="6"/>
  <c r="I29" i="6"/>
  <c r="E29" i="6"/>
  <c r="G25" i="6"/>
  <c r="H25" i="6"/>
  <c r="I25" i="6"/>
  <c r="F25" i="6"/>
  <c r="G16" i="6"/>
  <c r="H16" i="6"/>
  <c r="I16" i="6"/>
  <c r="D4" i="3" l="1"/>
  <c r="G4" i="3" s="1"/>
  <c r="H4" i="3" s="1"/>
  <c r="D24" i="1" l="1"/>
  <c r="D12" i="1"/>
  <c r="D17" i="1"/>
  <c r="D20" i="1"/>
  <c r="E31" i="1"/>
  <c r="F31" i="1" s="1"/>
  <c r="G31" i="1" s="1"/>
  <c r="H31" i="1" s="1"/>
  <c r="D21" i="1"/>
  <c r="E6" i="1"/>
  <c r="E7" i="7"/>
  <c r="E4" i="7"/>
  <c r="D60" i="1"/>
  <c r="E43" i="1"/>
  <c r="F43" i="1" s="1"/>
  <c r="E5" i="7"/>
  <c r="E6" i="7"/>
  <c r="E8" i="7"/>
  <c r="E3" i="7"/>
  <c r="D56" i="1"/>
  <c r="D62" i="1"/>
  <c r="F20" i="6"/>
  <c r="G20" i="6" s="1"/>
  <c r="E19" i="6"/>
  <c r="E42" i="1"/>
  <c r="F42" i="1" s="1"/>
  <c r="G42" i="1" s="1"/>
  <c r="H42" i="1" s="1"/>
  <c r="F16" i="6"/>
  <c r="F40" i="1"/>
  <c r="F64" i="1" s="1"/>
  <c r="G40" i="1"/>
  <c r="G64" i="1" s="1"/>
  <c r="H40" i="1"/>
  <c r="H64" i="1" s="1"/>
  <c r="E33" i="1"/>
  <c r="F33" i="1" s="1"/>
  <c r="G33" i="1" s="1"/>
  <c r="H33" i="1" s="1"/>
  <c r="E83" i="5"/>
  <c r="E82" i="5"/>
  <c r="E81" i="5"/>
  <c r="E80" i="5"/>
  <c r="E79" i="5"/>
  <c r="E78" i="5"/>
  <c r="E77" i="5"/>
  <c r="E76" i="5"/>
  <c r="E75" i="5"/>
  <c r="E74" i="5"/>
  <c r="E73" i="5"/>
  <c r="E72" i="5"/>
  <c r="E67" i="5"/>
  <c r="E66" i="5"/>
  <c r="E65" i="5"/>
  <c r="E64" i="5"/>
  <c r="E63" i="5"/>
  <c r="E62" i="5"/>
  <c r="E61" i="5"/>
  <c r="E60" i="5"/>
  <c r="E59" i="5"/>
  <c r="E58" i="5"/>
  <c r="E57" i="5"/>
  <c r="E56" i="5"/>
  <c r="E51" i="5"/>
  <c r="E50" i="5"/>
  <c r="E49" i="5"/>
  <c r="E48" i="5"/>
  <c r="E47" i="5"/>
  <c r="E46" i="5"/>
  <c r="E45" i="5"/>
  <c r="E44" i="5"/>
  <c r="E43" i="5"/>
  <c r="E42" i="5"/>
  <c r="E41" i="5"/>
  <c r="E40" i="5"/>
  <c r="H20" i="6" l="1"/>
  <c r="I20" i="6" s="1"/>
  <c r="E8" i="1"/>
  <c r="D64" i="1"/>
  <c r="F19" i="6"/>
  <c r="D22" i="1"/>
  <c r="E30" i="1"/>
  <c r="F30" i="1" s="1"/>
  <c r="G30" i="1" s="1"/>
  <c r="H30" i="1" s="1"/>
  <c r="D32" i="1"/>
  <c r="D34" i="1"/>
  <c r="H62" i="1"/>
  <c r="F58" i="1"/>
  <c r="D58" i="1"/>
  <c r="F6" i="1"/>
  <c r="E60" i="1"/>
  <c r="F60" i="1"/>
  <c r="G43" i="1"/>
  <c r="E62" i="1"/>
  <c r="E41" i="1"/>
  <c r="E65" i="1" s="1"/>
  <c r="E40" i="1"/>
  <c r="E64" i="1" s="1"/>
  <c r="D41" i="1"/>
  <c r="D65" i="1" s="1"/>
  <c r="H41" i="1"/>
  <c r="H65" i="1" s="1"/>
  <c r="G41" i="1"/>
  <c r="G65" i="1" s="1"/>
  <c r="F41" i="1"/>
  <c r="F65" i="1" s="1"/>
  <c r="E11" i="1" l="1"/>
  <c r="E9" i="1"/>
  <c r="F8" i="1"/>
  <c r="F9" i="1" s="1"/>
  <c r="F62" i="1"/>
  <c r="G62" i="1"/>
  <c r="G19" i="6"/>
  <c r="E32" i="1"/>
  <c r="D5" i="3"/>
  <c r="G5" i="3" s="1"/>
  <c r="H5" i="3" s="1"/>
  <c r="G58" i="1"/>
  <c r="E58" i="1"/>
  <c r="G6" i="1"/>
  <c r="D19" i="5"/>
  <c r="H43" i="1"/>
  <c r="H60" i="1" s="1"/>
  <c r="G60" i="1"/>
  <c r="H19" i="6" l="1"/>
  <c r="F11" i="1"/>
  <c r="D46" i="5"/>
  <c r="D48" i="5"/>
  <c r="D41" i="5"/>
  <c r="D50" i="5"/>
  <c r="D43" i="5"/>
  <c r="D40" i="5"/>
  <c r="D45" i="5"/>
  <c r="D47" i="5"/>
  <c r="D49" i="5"/>
  <c r="D42" i="5"/>
  <c r="D51" i="5"/>
  <c r="D44" i="5"/>
  <c r="G8" i="1"/>
  <c r="G9" i="1" s="1"/>
  <c r="E24" i="1"/>
  <c r="E12" i="1"/>
  <c r="E17" i="1"/>
  <c r="E20" i="1"/>
  <c r="F32" i="1"/>
  <c r="E21" i="1"/>
  <c r="H58" i="1"/>
  <c r="H6" i="1"/>
  <c r="D9" i="5"/>
  <c r="D17" i="5"/>
  <c r="E26" i="6"/>
  <c r="E27" i="6" s="1"/>
  <c r="D8" i="5"/>
  <c r="F8" i="5" s="1"/>
  <c r="D11" i="5"/>
  <c r="D28" i="5"/>
  <c r="D29" i="5"/>
  <c r="D35" i="5"/>
  <c r="D16" i="5"/>
  <c r="D18" i="5"/>
  <c r="D31" i="5"/>
  <c r="D10" i="5"/>
  <c r="D30" i="5"/>
  <c r="D15" i="5"/>
  <c r="D13" i="5"/>
  <c r="D26" i="5"/>
  <c r="D14" i="5"/>
  <c r="D12" i="5"/>
  <c r="D24" i="5"/>
  <c r="D27" i="5"/>
  <c r="D33" i="5"/>
  <c r="D34" i="5"/>
  <c r="D25" i="5"/>
  <c r="D32" i="5"/>
  <c r="I19" i="6" l="1"/>
  <c r="G11" i="1"/>
  <c r="D58" i="5"/>
  <c r="D66" i="5"/>
  <c r="D61" i="5"/>
  <c r="D62" i="5"/>
  <c r="D64" i="5"/>
  <c r="D65" i="5"/>
  <c r="D59" i="5"/>
  <c r="D67" i="5"/>
  <c r="D60" i="5"/>
  <c r="D56" i="5"/>
  <c r="D63" i="5"/>
  <c r="D57" i="5"/>
  <c r="H8" i="1"/>
  <c r="H9" i="1" s="1"/>
  <c r="E22" i="1"/>
  <c r="F26" i="6" s="1"/>
  <c r="G32" i="1"/>
  <c r="D6" i="3"/>
  <c r="G6" i="3" s="1"/>
  <c r="H6" i="3" s="1"/>
  <c r="C34" i="5"/>
  <c r="D36" i="5"/>
  <c r="D59" i="1"/>
  <c r="D66" i="1" s="1"/>
  <c r="F9" i="5"/>
  <c r="H11" i="1" l="1"/>
  <c r="D78" i="5"/>
  <c r="D73" i="5"/>
  <c r="D74" i="5"/>
  <c r="D83" i="5"/>
  <c r="D76" i="5"/>
  <c r="D77" i="5"/>
  <c r="D79" i="5"/>
  <c r="D80" i="5"/>
  <c r="D81" i="5"/>
  <c r="D82" i="5"/>
  <c r="D75" i="5"/>
  <c r="D72" i="5"/>
  <c r="F24" i="1"/>
  <c r="F12" i="1"/>
  <c r="F17" i="1"/>
  <c r="F20" i="1"/>
  <c r="H32" i="1"/>
  <c r="E34" i="1"/>
  <c r="F21" i="1"/>
  <c r="E59" i="1"/>
  <c r="F27" i="6"/>
  <c r="D8" i="3"/>
  <c r="G8" i="3" s="1"/>
  <c r="H8" i="3" s="1"/>
  <c r="D52" i="5"/>
  <c r="C33" i="5"/>
  <c r="C32" i="5"/>
  <c r="C30" i="5"/>
  <c r="C31" i="5"/>
  <c r="C28" i="5"/>
  <c r="C25" i="5"/>
  <c r="C27" i="5"/>
  <c r="C35" i="5"/>
  <c r="C29" i="5"/>
  <c r="C24" i="5"/>
  <c r="F24" i="5" s="1"/>
  <c r="G24" i="5" s="1"/>
  <c r="C26" i="5"/>
  <c r="F10" i="5"/>
  <c r="G20" i="1" l="1"/>
  <c r="D7" i="3"/>
  <c r="G7" i="3" s="1"/>
  <c r="H7" i="3" s="1"/>
  <c r="H9" i="3" s="1"/>
  <c r="F22" i="1"/>
  <c r="G26" i="6" s="1"/>
  <c r="F59" i="1" s="1"/>
  <c r="H17" i="1"/>
  <c r="H20" i="1"/>
  <c r="G17" i="1"/>
  <c r="F34" i="1"/>
  <c r="G21" i="1"/>
  <c r="D68" i="5"/>
  <c r="H21" i="1"/>
  <c r="D84" i="5"/>
  <c r="F11" i="5"/>
  <c r="F25" i="5"/>
  <c r="G25" i="5" s="1"/>
  <c r="H24" i="1" l="1"/>
  <c r="H12" i="1"/>
  <c r="G24" i="1"/>
  <c r="G12" i="1"/>
  <c r="H22" i="1"/>
  <c r="I26" i="6" s="1"/>
  <c r="G22" i="1"/>
  <c r="H26" i="6" s="1"/>
  <c r="G27" i="6"/>
  <c r="G34" i="1"/>
  <c r="F26" i="5"/>
  <c r="G26" i="5" s="1"/>
  <c r="F12" i="5"/>
  <c r="H27" i="6" l="1"/>
  <c r="G59" i="1"/>
  <c r="H34" i="1"/>
  <c r="I27" i="6"/>
  <c r="H59" i="1"/>
  <c r="F13" i="5"/>
  <c r="F27" i="5"/>
  <c r="G27" i="5" s="1"/>
  <c r="F14" i="5" l="1"/>
  <c r="F28" i="5"/>
  <c r="G28" i="5" s="1"/>
  <c r="F29" i="5" l="1"/>
  <c r="G29" i="5" s="1"/>
  <c r="F15" i="5"/>
  <c r="F16" i="5" l="1"/>
  <c r="F30" i="5"/>
  <c r="G30" i="5" s="1"/>
  <c r="F31" i="5" l="1"/>
  <c r="G31" i="5" s="1"/>
  <c r="F17" i="5"/>
  <c r="F32" i="5" l="1"/>
  <c r="G32" i="5" s="1"/>
  <c r="F18" i="5"/>
  <c r="F19" i="5" l="1"/>
  <c r="F33" i="5"/>
  <c r="G33" i="5" s="1"/>
  <c r="G20" i="5" l="1"/>
  <c r="F20" i="5"/>
  <c r="F34" i="5"/>
  <c r="G34" i="5" s="1"/>
  <c r="D25" i="1" l="1"/>
  <c r="F35" i="5"/>
  <c r="G35" i="5" s="1"/>
  <c r="D26" i="1" l="1"/>
  <c r="D48" i="1" s="1"/>
  <c r="F3" i="7"/>
  <c r="G36" i="5"/>
  <c r="F36" i="5"/>
  <c r="C40" i="5" s="1"/>
  <c r="C41" i="5" l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F40" i="5"/>
  <c r="G40" i="5" s="1"/>
  <c r="E25" i="1"/>
  <c r="E26" i="1" l="1"/>
  <c r="E37" i="1" s="1"/>
  <c r="F41" i="5"/>
  <c r="G41" i="5" s="1"/>
  <c r="E48" i="1" l="1"/>
  <c r="D9" i="15" s="1"/>
  <c r="F42" i="5"/>
  <c r="G42" i="5" s="1"/>
  <c r="E56" i="1"/>
  <c r="E66" i="1" s="1"/>
  <c r="D18" i="15" s="1"/>
  <c r="D19" i="15" s="1"/>
  <c r="D9" i="16" l="1"/>
  <c r="F43" i="5"/>
  <c r="G43" i="5" s="1"/>
  <c r="F44" i="5" l="1"/>
  <c r="G44" i="5" s="1"/>
  <c r="F45" i="5" l="1"/>
  <c r="G45" i="5" s="1"/>
  <c r="F46" i="5" l="1"/>
  <c r="G46" i="5" s="1"/>
  <c r="F47" i="5" l="1"/>
  <c r="G47" i="5" s="1"/>
  <c r="F48" i="5" l="1"/>
  <c r="G48" i="5" s="1"/>
  <c r="F49" i="5" l="1"/>
  <c r="G49" i="5" s="1"/>
  <c r="F50" i="5" l="1"/>
  <c r="G50" i="5" s="1"/>
  <c r="F51" i="5" l="1"/>
  <c r="G51" i="5" s="1"/>
  <c r="G52" i="5" l="1"/>
  <c r="F52" i="5"/>
  <c r="C56" i="5" s="1"/>
  <c r="C57" i="5" l="1"/>
  <c r="F56" i="5"/>
  <c r="G56" i="5" s="1"/>
  <c r="F25" i="1"/>
  <c r="F26" i="1" s="1"/>
  <c r="C58" i="5"/>
  <c r="C59" i="5" s="1"/>
  <c r="C60" i="5" s="1"/>
  <c r="C61" i="5" s="1"/>
  <c r="C62" i="5" s="1"/>
  <c r="C63" i="5" s="1"/>
  <c r="C64" i="5" s="1"/>
  <c r="C65" i="5" s="1"/>
  <c r="C66" i="5" s="1"/>
  <c r="C67" i="5" s="1"/>
  <c r="F48" i="1" l="1"/>
  <c r="E9" i="15" s="1"/>
  <c r="F37" i="1"/>
  <c r="F56" i="1" s="1"/>
  <c r="F66" i="1" s="1"/>
  <c r="E18" i="15" s="1"/>
  <c r="E19" i="15" s="1"/>
  <c r="F57" i="5"/>
  <c r="G57" i="5" s="1"/>
  <c r="E9" i="16" l="1"/>
  <c r="F58" i="5"/>
  <c r="G58" i="5" s="1"/>
  <c r="F59" i="5" l="1"/>
  <c r="G59" i="5" s="1"/>
  <c r="F60" i="5" l="1"/>
  <c r="G60" i="5" s="1"/>
  <c r="F61" i="5" l="1"/>
  <c r="G61" i="5" s="1"/>
  <c r="F62" i="5" l="1"/>
  <c r="G62" i="5" s="1"/>
  <c r="F63" i="5" l="1"/>
  <c r="G63" i="5" s="1"/>
  <c r="F64" i="5" l="1"/>
  <c r="G64" i="5" s="1"/>
  <c r="F65" i="5" l="1"/>
  <c r="G65" i="5" s="1"/>
  <c r="F66" i="5" l="1"/>
  <c r="G66" i="5" s="1"/>
  <c r="F67" i="5" l="1"/>
  <c r="G67" i="5" s="1"/>
  <c r="F68" i="5" l="1"/>
  <c r="C72" i="5" s="1"/>
  <c r="G68" i="5"/>
  <c r="G25" i="1" s="1"/>
  <c r="G26" i="1" s="1"/>
  <c r="F72" i="5" l="1"/>
  <c r="G72" i="5" s="1"/>
  <c r="C73" i="5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G48" i="1" l="1"/>
  <c r="F9" i="15" s="1"/>
  <c r="G37" i="1"/>
  <c r="G56" i="1" s="1"/>
  <c r="G66" i="1" s="1"/>
  <c r="F18" i="15" s="1"/>
  <c r="F19" i="15" s="1"/>
  <c r="F73" i="5"/>
  <c r="G73" i="5" s="1"/>
  <c r="F9" i="16" l="1"/>
  <c r="F74" i="5"/>
  <c r="G74" i="5" s="1"/>
  <c r="F75" i="5" l="1"/>
  <c r="G75" i="5" s="1"/>
  <c r="F76" i="5" l="1"/>
  <c r="G76" i="5" s="1"/>
  <c r="F77" i="5" l="1"/>
  <c r="G77" i="5" s="1"/>
  <c r="F78" i="5" l="1"/>
  <c r="G78" i="5" s="1"/>
  <c r="F79" i="5" l="1"/>
  <c r="G79" i="5" s="1"/>
  <c r="F80" i="5" l="1"/>
  <c r="G80" i="5" s="1"/>
  <c r="F81" i="5" l="1"/>
  <c r="G81" i="5" s="1"/>
  <c r="F82" i="5" l="1"/>
  <c r="G82" i="5" s="1"/>
  <c r="F83" i="5" l="1"/>
  <c r="G83" i="5" s="1"/>
  <c r="G84" i="5" l="1"/>
  <c r="H25" i="1" s="1"/>
  <c r="H26" i="1" s="1"/>
  <c r="F84" i="5"/>
  <c r="G86" i="5" l="1"/>
  <c r="H48" i="1" l="1"/>
  <c r="G9" i="15" s="1"/>
  <c r="H37" i="1"/>
  <c r="H56" i="1" s="1"/>
  <c r="H66" i="1" s="1"/>
  <c r="G18" i="15" s="1"/>
  <c r="G19" i="15" s="1"/>
  <c r="G9" i="16" l="1"/>
  <c r="D50" i="1" l="1"/>
  <c r="D67" i="1" s="1"/>
  <c r="D69" i="1" s="1"/>
  <c r="D71" i="1" s="1"/>
  <c r="C7" i="16" l="1"/>
  <c r="C10" i="16" s="1"/>
  <c r="C23" i="15"/>
  <c r="C24" i="15" s="1"/>
  <c r="C25" i="15" s="1"/>
  <c r="D51" i="1"/>
  <c r="E39" i="1"/>
  <c r="D39" i="1"/>
  <c r="G22" i="6"/>
  <c r="E49" i="1"/>
  <c r="E50" i="1" s="1"/>
  <c r="C21" i="16" l="1"/>
  <c r="C23" i="16" s="1"/>
  <c r="C25" i="16"/>
  <c r="C4" i="7" s="1"/>
  <c r="D22" i="16"/>
  <c r="C8" i="15"/>
  <c r="C11" i="15" s="1"/>
  <c r="C14" i="15" s="1"/>
  <c r="C27" i="15" s="1"/>
  <c r="E51" i="1"/>
  <c r="E67" i="1"/>
  <c r="E69" i="1" s="1"/>
  <c r="E71" i="1" s="1"/>
  <c r="H22" i="6"/>
  <c r="F49" i="1"/>
  <c r="F50" i="1" s="1"/>
  <c r="F4" i="7" l="1"/>
  <c r="D23" i="15"/>
  <c r="D7" i="16"/>
  <c r="D10" i="16" s="1"/>
  <c r="F39" i="1"/>
  <c r="F67" i="1"/>
  <c r="F69" i="1" s="1"/>
  <c r="F51" i="1"/>
  <c r="I22" i="6"/>
  <c r="G49" i="1"/>
  <c r="G50" i="1" s="1"/>
  <c r="D21" i="16" l="1"/>
  <c r="D23" i="16" s="1"/>
  <c r="D25" i="16"/>
  <c r="C5" i="7" s="1"/>
  <c r="E22" i="16"/>
  <c r="D8" i="15"/>
  <c r="D11" i="15" s="1"/>
  <c r="D14" i="15" s="1"/>
  <c r="D24" i="15"/>
  <c r="D25" i="15" s="1"/>
  <c r="F70" i="1"/>
  <c r="F71" i="1" s="1"/>
  <c r="E7" i="16" s="1"/>
  <c r="E10" i="16" s="1"/>
  <c r="E21" i="16" s="1"/>
  <c r="G39" i="1"/>
  <c r="G67" i="1"/>
  <c r="G69" i="1" s="1"/>
  <c r="G51" i="1"/>
  <c r="H49" i="1"/>
  <c r="H50" i="1" s="1"/>
  <c r="C11" i="7" l="1"/>
  <c r="F5" i="7"/>
  <c r="D27" i="15"/>
  <c r="E23" i="15"/>
  <c r="E23" i="16"/>
  <c r="E8" i="15" s="1"/>
  <c r="E11" i="15" s="1"/>
  <c r="E14" i="15" s="1"/>
  <c r="F23" i="15"/>
  <c r="E24" i="15"/>
  <c r="F6" i="7"/>
  <c r="H39" i="1"/>
  <c r="G70" i="1"/>
  <c r="G71" i="1" s="1"/>
  <c r="F7" i="16" s="1"/>
  <c r="F10" i="16" s="1"/>
  <c r="F21" i="16" s="1"/>
  <c r="H67" i="1"/>
  <c r="H69" i="1" s="1"/>
  <c r="H51" i="1"/>
  <c r="F22" i="16" l="1"/>
  <c r="F23" i="16" s="1"/>
  <c r="G22" i="16" s="1"/>
  <c r="F24" i="15"/>
  <c r="F7" i="7"/>
  <c r="E25" i="15"/>
  <c r="E27" i="15" s="1"/>
  <c r="H70" i="1"/>
  <c r="H71" i="1" s="1"/>
  <c r="G7" i="16" s="1"/>
  <c r="G10" i="16" s="1"/>
  <c r="G21" i="16" s="1"/>
  <c r="G23" i="15" l="1"/>
  <c r="G24" i="15" s="1"/>
  <c r="G23" i="16"/>
  <c r="G8" i="15" s="1"/>
  <c r="G11" i="15" s="1"/>
  <c r="G14" i="15" s="1"/>
  <c r="F8" i="15"/>
  <c r="F11" i="15" s="1"/>
  <c r="F14" i="15" s="1"/>
  <c r="F8" i="7"/>
  <c r="F9" i="7" s="1"/>
  <c r="G25" i="15"/>
  <c r="F25" i="15"/>
  <c r="F27" i="15" l="1"/>
  <c r="G27" i="15"/>
</calcChain>
</file>

<file path=xl/sharedStrings.xml><?xml version="1.0" encoding="utf-8"?>
<sst xmlns="http://schemas.openxmlformats.org/spreadsheetml/2006/main" count="794" uniqueCount="580">
  <si>
    <t>Assumptions</t>
  </si>
  <si>
    <t>COGS</t>
  </si>
  <si>
    <t>Revenue Assumptions</t>
  </si>
  <si>
    <t>Variable</t>
  </si>
  <si>
    <t>Fixed</t>
  </si>
  <si>
    <t>Salaries</t>
  </si>
  <si>
    <t>Revenue</t>
  </si>
  <si>
    <t>Gross Profit</t>
  </si>
  <si>
    <t>Gross Profit Margin</t>
  </si>
  <si>
    <t>Tax Rate</t>
  </si>
  <si>
    <t>#</t>
  </si>
  <si>
    <t>Unit</t>
  </si>
  <si>
    <t>%</t>
  </si>
  <si>
    <t>$</t>
  </si>
  <si>
    <t>WaveCare Forecast</t>
  </si>
  <si>
    <t>Nursing Institute Report</t>
  </si>
  <si>
    <t>https://nurse.mohw.gov.tw/mp-2.html</t>
  </si>
  <si>
    <t>Elderly Instution Report</t>
  </si>
  <si>
    <t>https://stis.mohw.gov.tw/HWSDweb/common/CommonQuery.aspx?code=G&amp;id=69&amp;utm_source=chatgpt.com</t>
  </si>
  <si>
    <t>Year 1</t>
  </si>
  <si>
    <t>Year 2</t>
  </si>
  <si>
    <t>Year 3</t>
  </si>
  <si>
    <t>Year 4</t>
  </si>
  <si>
    <t>Year 5</t>
  </si>
  <si>
    <t>Year</t>
  </si>
  <si>
    <t>BD</t>
  </si>
  <si>
    <t>Close rate</t>
  </si>
  <si>
    <t>Y1</t>
  </si>
  <si>
    <t>Y2</t>
  </si>
  <si>
    <t>Y3</t>
  </si>
  <si>
    <t>Y4</t>
  </si>
  <si>
    <t>Y5</t>
  </si>
  <si>
    <t>Total</t>
  </si>
  <si>
    <t>Expected Lead/BD/Year</t>
  </si>
  <si>
    <t>Benchmark for prices</t>
  </si>
  <si>
    <t>https://www.ncoa.org/product-resources/medical-alert-systems/best-medical-alert-systems-with-fall-detection/?utm_source=chatgpt.com</t>
  </si>
  <si>
    <t>Nursing homes price/month</t>
  </si>
  <si>
    <t>https://store.directsupply.com/Product/replacement-wristband-transmitter-tl-4005-door-systems-11023710?quantity=1</t>
  </si>
  <si>
    <t>Nurse call band</t>
  </si>
  <si>
    <t>https://www.aftygh.gov.tw/english-dep/nursing-home/?utm_source=chatgpt.com
https://chnh.mohw.gov.tw/eng/content/index.aspx?Parser=1%2C14%2C95%2C79&amp;utm_source=chatgpt.com
https://www.tsmh.org.tw/sites/tsmhcare/fee.html?utm_source=chatgpt.com
https://www.paochien.com.tw/twuse/page?pageid=1100005&amp;typeid=1000&amp;utm_source=chatgpt.com
https://wwwv.tsgh.ndmutsgh.edu.tw/unit/10071/17981</t>
  </si>
  <si>
    <t>Note</t>
  </si>
  <si>
    <t>Total Revenue</t>
  </si>
  <si>
    <t>Churn rate</t>
  </si>
  <si>
    <t>WaveCare Monthly Service Revenue Cohort Assumption</t>
  </si>
  <si>
    <t>Month</t>
  </si>
  <si>
    <t>Jan</t>
  </si>
  <si>
    <t>Feb</t>
  </si>
  <si>
    <t>New Signed</t>
  </si>
  <si>
    <t>Active from Y-1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</si>
  <si>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</si>
  <si>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</si>
  <si>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</si>
  <si>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</si>
  <si>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</si>
  <si>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</si>
  <si>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</si>
  <si>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</si>
  <si>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</si>
  <si>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</si>
  <si>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service revenue</t>
  </si>
  <si>
    <t>Cumulative Total Active</t>
  </si>
  <si>
    <t>Total Year 1</t>
  </si>
  <si>
    <t>Total Year 2</t>
  </si>
  <si>
    <t>Total Year 3</t>
  </si>
  <si>
    <t>Total Year 4</t>
  </si>
  <si>
    <t>Total Year 5</t>
  </si>
  <si>
    <t>Churn Rate</t>
  </si>
  <si>
    <t>Active facilities</t>
  </si>
  <si>
    <t>Certification &amp; Compliance Cost</t>
  </si>
  <si>
    <t>WaveCare Personel Forecast</t>
  </si>
  <si>
    <t>Engineer</t>
  </si>
  <si>
    <t>Business Development</t>
  </si>
  <si>
    <t>Admin/ Support</t>
  </si>
  <si>
    <t>Customer Support Employee ($1000 per month)</t>
  </si>
  <si>
    <t>Quantity Assumptions</t>
  </si>
  <si>
    <t>Total Salaries</t>
  </si>
  <si>
    <t>Firmware Engineer ($3000 per month)</t>
  </si>
  <si>
    <t>Backend Engineer ($3000 per month)</t>
  </si>
  <si>
    <t>(9) Assumptions are in Personel Sheet.</t>
  </si>
  <si>
    <t>Salaries &amp; Commission</t>
  </si>
  <si>
    <t>(1) Commission is based on 5% revenue of the Hardware.</t>
  </si>
  <si>
    <t>Rent &amp; Utilities</t>
  </si>
  <si>
    <t>(10) Assume that Co-working space/ Renting lab is US$250 per person per month. Utilities is included.</t>
  </si>
  <si>
    <t>(11) Assume that each employee needs 01 laptop (One-time: US$1500 per laptop) and annually US$5000 for other tools &amp; equipments.</t>
  </si>
  <si>
    <t xml:space="preserve">Marketing &amp; Campaigns </t>
  </si>
  <si>
    <t>(5) Assume that 5% of Hardware Revenue is contributed to Warranty.</t>
  </si>
  <si>
    <t>Pro-Forma Income Statement</t>
  </si>
  <si>
    <t>Operating Expenses - OpEx</t>
  </si>
  <si>
    <t>EBITDA</t>
  </si>
  <si>
    <t>Cost Structure</t>
  </si>
  <si>
    <t>Salaries - Engineer</t>
  </si>
  <si>
    <t>(2) Assume that Salary Increase Rate is 5% annually.</t>
  </si>
  <si>
    <t>Base Salary</t>
  </si>
  <si>
    <t xml:space="preserve">Firmware Engineer </t>
  </si>
  <si>
    <t xml:space="preserve">Backend Engineer </t>
  </si>
  <si>
    <t>Business Development Employee ($1500 per month)</t>
  </si>
  <si>
    <t>Business Development Employee's Commission</t>
  </si>
  <si>
    <t>Product R&amp;D Cost</t>
  </si>
  <si>
    <t>(7) Coding cost is paid one-time to build Minimum Viable Product (MVP) at Y1. From Y2, 2% of Revenue is contributed to Product R&amp;D.</t>
  </si>
  <si>
    <t>Product Research and Development</t>
  </si>
  <si>
    <t>Sales Commission Expense</t>
  </si>
  <si>
    <t>Travel and Entertainment</t>
  </si>
  <si>
    <t>(13) Travel and Entertainment is US$5000/ year. The budget is raised 5% each year.</t>
  </si>
  <si>
    <t>Marketing &amp; Campaigns Expense</t>
  </si>
  <si>
    <t>R&amp;D Expenses</t>
  </si>
  <si>
    <t>Selling Expenses</t>
  </si>
  <si>
    <t>Marketing Expenses</t>
  </si>
  <si>
    <t>Administrative Expenses</t>
  </si>
  <si>
    <t>Salaries - Business Development Employee</t>
  </si>
  <si>
    <t>Office supplies and Equipment</t>
  </si>
  <si>
    <t>Total Operating Expense</t>
  </si>
  <si>
    <t>Amortization</t>
  </si>
  <si>
    <t>EBT</t>
  </si>
  <si>
    <t>Tax (20%)</t>
  </si>
  <si>
    <t>Net Income (Loss)</t>
  </si>
  <si>
    <t xml:space="preserve"> </t>
  </si>
  <si>
    <t>(3) Assume that Commission is based on 10% of the Hardware Revenue.</t>
  </si>
  <si>
    <t>CF</t>
  </si>
  <si>
    <t>Discount Factor</t>
  </si>
  <si>
    <t>WACC</t>
  </si>
  <si>
    <t>Total NPV</t>
  </si>
  <si>
    <t>NPV</t>
  </si>
  <si>
    <t>Questions</t>
  </si>
  <si>
    <t>Financial</t>
  </si>
  <si>
    <t>NPV too small?</t>
  </si>
  <si>
    <t>Warranty = 5% too small or not?</t>
  </si>
  <si>
    <t>R&amp;D 2% is too small or not?</t>
  </si>
  <si>
    <t>Do we have to make the balance sheet &amp; cashflow ?</t>
  </si>
  <si>
    <t>400k Funding is enough or not?</t>
  </si>
  <si>
    <t>Should we include salary of C-Level?</t>
  </si>
  <si>
    <t>WACC 20% ?</t>
  </si>
  <si>
    <t>Is the market too small? Should we expand to other countries? From what year?</t>
  </si>
  <si>
    <t>Validation</t>
  </si>
  <si>
    <t>What if we haven't gotten any KPI?</t>
  </si>
  <si>
    <t>Warranty Expense (variable portion)</t>
  </si>
  <si>
    <t>Taiwanese Market</t>
  </si>
  <si>
    <t>Korean Market</t>
  </si>
  <si>
    <t>Japanese Market</t>
  </si>
  <si>
    <t>https://www.jkgn.org/journal/view.php?number=619&amp;utm_source=chatgpt.com</t>
  </si>
  <si>
    <t>https://www.mhlw.go.jp/toukei/saikin/hw/kaigo/service24/dl/gaikyo.pdf?utm_source=chatgpt.com</t>
  </si>
  <si>
    <t>Total Taiwanese Market's Revenue</t>
  </si>
  <si>
    <t>Adoption rate (Taiwanese market)</t>
  </si>
  <si>
    <t>Business Development Employee (Taiwanese Market)</t>
  </si>
  <si>
    <t>Customer Support Employee  (Taiwanese Market)</t>
  </si>
  <si>
    <t>Total residents</t>
  </si>
  <si>
    <t>Market Base (by resident)</t>
  </si>
  <si>
    <t>Serviceable Available Market (SAM)</t>
  </si>
  <si>
    <t>New residents</t>
  </si>
  <si>
    <t>Active residents</t>
  </si>
  <si>
    <t>Gateway Revenue</t>
  </si>
  <si>
    <t>Total Hardware Revenue</t>
  </si>
  <si>
    <t>Annual Service</t>
  </si>
  <si>
    <t xml:space="preserve">Total Hardware COSG </t>
  </si>
  <si>
    <t>Wristband COGS</t>
  </si>
  <si>
    <t xml:space="preserve">Gateway COSG </t>
  </si>
  <si>
    <t>(4) Assume that 2 temporary technicians can support installation &amp; training for 50 residents/ day. Each person is paid US$125/ day. Assume that the cost of the Installation is affected by 3% inflation every year.</t>
  </si>
  <si>
    <t>Installation Cost (per resident)</t>
  </si>
  <si>
    <t>Total Wristband Revenue</t>
  </si>
  <si>
    <t>Number of Sold Wristband</t>
  </si>
  <si>
    <t>Number of Sold Gateway</t>
  </si>
  <si>
    <t>Wristband</t>
  </si>
  <si>
    <t>Gateway</t>
  </si>
  <si>
    <t>Number of Active residents</t>
  </si>
  <si>
    <t>Total Annual Service Revenue</t>
  </si>
  <si>
    <t>Name</t>
  </si>
  <si>
    <t>Number of Nurses (Nursing staff only,excluding care workers)</t>
  </si>
  <si>
    <t>Number of Residents</t>
  </si>
  <si>
    <t>How much residents pay for 1 month</t>
  </si>
  <si>
    <t>大稻埕護理之家</t>
  </si>
  <si>
    <t>24 beds</t>
  </si>
  <si>
    <t>$36,000~$50,000</t>
  </si>
  <si>
    <t>新北市私立清福護理之家</t>
  </si>
  <si>
    <t>97 beds</t>
  </si>
  <si>
    <t>$40,000</t>
  </si>
  <si>
    <t>佛教慈濟醫療財團法人附設台中慈濟護理之家</t>
  </si>
  <si>
    <t>450 beds</t>
  </si>
  <si>
    <t>$25,200~$49,600</t>
  </si>
  <si>
    <t>承恩護理之家</t>
  </si>
  <si>
    <t>47 beds</t>
  </si>
  <si>
    <t>$35,000~$50,000</t>
  </si>
  <si>
    <t>員林郭醫院附設護理之家</t>
  </si>
  <si>
    <t>135 beds</t>
  </si>
  <si>
    <t>$31,000~$37,000</t>
  </si>
  <si>
    <t>松群護理之家</t>
  </si>
  <si>
    <t>79 beds</t>
  </si>
  <si>
    <t>$32,000</t>
  </si>
  <si>
    <t>重建樂活護理之家</t>
  </si>
  <si>
    <t>22 beds</t>
  </si>
  <si>
    <t>$42,000</t>
  </si>
  <si>
    <t>光田護理之家</t>
  </si>
  <si>
    <t>130 beds</t>
  </si>
  <si>
    <t>$33,000~$50,000</t>
  </si>
  <si>
    <t>八里同仁護理之家</t>
  </si>
  <si>
    <t>44 beds</t>
  </si>
  <si>
    <t>$36,000~$54,000</t>
  </si>
  <si>
    <t>長宸護理之家</t>
  </si>
  <si>
    <t>45 beds</t>
  </si>
  <si>
    <t>$42,000~$46,000</t>
  </si>
  <si>
    <t>松慈護理之家</t>
  </si>
  <si>
    <t>99 beds</t>
  </si>
  <si>
    <t>$21,000</t>
  </si>
  <si>
    <t>世華護理之家</t>
  </si>
  <si>
    <t>40 beds</t>
  </si>
  <si>
    <t>$16,800~$29,000</t>
  </si>
  <si>
    <t>新北市私立佳和護理之家</t>
  </si>
  <si>
    <t>89 beds</t>
  </si>
  <si>
    <t>$37,000~$54,000</t>
  </si>
  <si>
    <t>至亨護理之家</t>
  </si>
  <si>
    <t>61 beds</t>
  </si>
  <si>
    <t>$31,000~$35,000</t>
  </si>
  <si>
    <t>新北市私立景馨護理之家</t>
  </si>
  <si>
    <t>34 beds</t>
  </si>
  <si>
    <t>$38,000~$46,000</t>
  </si>
  <si>
    <t>心福護理之家</t>
  </si>
  <si>
    <t>98 beds</t>
  </si>
  <si>
    <t>$36,000~$45,000</t>
  </si>
  <si>
    <t>佳新護理之家</t>
  </si>
  <si>
    <t>73 beds</t>
  </si>
  <si>
    <t>$37,000~$52,000</t>
  </si>
  <si>
    <t>福謙護理之家</t>
  </si>
  <si>
    <t>32 beds</t>
  </si>
  <si>
    <t>$25,000~$50,000</t>
  </si>
  <si>
    <t>如新護理之家</t>
  </si>
  <si>
    <t>176 beds</t>
  </si>
  <si>
    <t>$37,500~$48,000</t>
  </si>
  <si>
    <t>楓樹護理之家</t>
  </si>
  <si>
    <t>48 beds</t>
  </si>
  <si>
    <t>$37,000~$50,000</t>
  </si>
  <si>
    <t>溫馨護理之家</t>
  </si>
  <si>
    <t>13 beds</t>
  </si>
  <si>
    <t>$35,000~$40,000</t>
  </si>
  <si>
    <t>和欣護理之家</t>
  </si>
  <si>
    <t>$29,000</t>
  </si>
  <si>
    <t>平和醫療社團法人附設和平護理之家</t>
  </si>
  <si>
    <t>52 beds</t>
  </si>
  <si>
    <t>$34,000~$38,000</t>
  </si>
  <si>
    <t>新中興醫院附設護理之家</t>
  </si>
  <si>
    <t>35 beds</t>
  </si>
  <si>
    <t>$30,000~$32,000</t>
  </si>
  <si>
    <t>迦勒護理之家</t>
  </si>
  <si>
    <t>德逸護理之家</t>
  </si>
  <si>
    <t>$25,500~$31,000</t>
  </si>
  <si>
    <t>瑞豐護理之家</t>
  </si>
  <si>
    <t>74 beds</t>
  </si>
  <si>
    <t>$25,000~$30,000</t>
  </si>
  <si>
    <t>萬年護理之家</t>
  </si>
  <si>
    <t>66 beds</t>
  </si>
  <si>
    <t>$37,500</t>
  </si>
  <si>
    <t>仁德醫療社團法人附設護理之家</t>
  </si>
  <si>
    <t>$35,000~$39,000</t>
  </si>
  <si>
    <t>延松護理之家</t>
  </si>
  <si>
    <t>51 beds</t>
  </si>
  <si>
    <t>$30,000~$31,000</t>
  </si>
  <si>
    <t>仁愛護理之家</t>
  </si>
  <si>
    <t>42 beds</t>
  </si>
  <si>
    <t>$18,000</t>
  </si>
  <si>
    <t>桃園市私立元福護理之家</t>
  </si>
  <si>
    <t>75 beds</t>
  </si>
  <si>
    <t>$33,000~$40,000</t>
  </si>
  <si>
    <t>慈光護理之家</t>
  </si>
  <si>
    <t>$30,000~$44,000</t>
  </si>
  <si>
    <t>東港護理之家</t>
  </si>
  <si>
    <t>65 beds</t>
  </si>
  <si>
    <t>$25,000~$35,000</t>
  </si>
  <si>
    <t>聖公護理之家</t>
  </si>
  <si>
    <t>87 beds</t>
  </si>
  <si>
    <t>$28,000~$31,000</t>
  </si>
  <si>
    <t>福寶護理之家</t>
  </si>
  <si>
    <t>92 beds</t>
  </si>
  <si>
    <t>$27,000~$30,000</t>
  </si>
  <si>
    <t>皇家護理之家</t>
  </si>
  <si>
    <t>永泰護理之家</t>
  </si>
  <si>
    <t>25 beds</t>
  </si>
  <si>
    <t>$20,000~$26,000</t>
  </si>
  <si>
    <t>福星護理之家</t>
  </si>
  <si>
    <t>$30,000</t>
  </si>
  <si>
    <t>佳霖護理之家</t>
  </si>
  <si>
    <t>60 beds</t>
  </si>
  <si>
    <t>$24,000~$27,000</t>
  </si>
  <si>
    <t>恩典護理之家</t>
  </si>
  <si>
    <t>86 beds</t>
  </si>
  <si>
    <t>$37,000~$58,000</t>
  </si>
  <si>
    <t>義大醫療財團法人附設義大護理之家</t>
  </si>
  <si>
    <t>110 beds</t>
  </si>
  <si>
    <t>$38,000~$41,000</t>
  </si>
  <si>
    <t>私立健生護理之家</t>
  </si>
  <si>
    <t>$42,000~$60,000</t>
  </si>
  <si>
    <t>私立三民護理之家</t>
  </si>
  <si>
    <t>$38,000</t>
  </si>
  <si>
    <t>林新醫療社團法人附設烏日林新護理之家</t>
  </si>
  <si>
    <t>$45,000~$50,000</t>
  </si>
  <si>
    <t>東明護理之家</t>
  </si>
  <si>
    <t>158 beds</t>
  </si>
  <si>
    <t>$27,000</t>
  </si>
  <si>
    <t>新翔護理之家</t>
  </si>
  <si>
    <t>70 beds</t>
  </si>
  <si>
    <t>$38,000~$45,000</t>
  </si>
  <si>
    <t>佳合護理之家</t>
  </si>
  <si>
    <t>151 beds</t>
  </si>
  <si>
    <t>$35,000~$54,000</t>
  </si>
  <si>
    <t>聯庚護理之家</t>
  </si>
  <si>
    <t>49 beds</t>
  </si>
  <si>
    <t>$33,000~$36,000</t>
  </si>
  <si>
    <t>荷蘭村護理之家</t>
  </si>
  <si>
    <t>80 beds</t>
  </si>
  <si>
    <t>$30,000~$38,000</t>
  </si>
  <si>
    <t>長庚醫療財團法人附設長青護理之家</t>
  </si>
  <si>
    <t>310 beds</t>
  </si>
  <si>
    <t>$35,000~$72,000</t>
  </si>
  <si>
    <t>長庚養生文化村</t>
  </si>
  <si>
    <t>N/A</t>
  </si>
  <si>
    <t>400 rooms</t>
  </si>
  <si>
    <t>$27,500~$47,800</t>
  </si>
  <si>
    <t>潤福生活新象</t>
  </si>
  <si>
    <t>300 rooms</t>
  </si>
  <si>
    <t>$27,850</t>
  </si>
  <si>
    <t>康寧養生會館</t>
  </si>
  <si>
    <t>165 rooms</t>
  </si>
  <si>
    <t>$72,000~$138,000</t>
  </si>
  <si>
    <t>陽明老人公寓</t>
  </si>
  <si>
    <t>$16,800~$25,400</t>
  </si>
  <si>
    <t>Zhi-Shan Senior Home (by Cardinal Tien Memorial Hospital of Yungho)</t>
  </si>
  <si>
    <t>$23,600</t>
  </si>
  <si>
    <t>1st year pilot</t>
  </si>
  <si>
    <t>25,725 (Median)</t>
  </si>
  <si>
    <t>Zhi-Shan Senior Home</t>
  </si>
  <si>
    <t>康寧養生會館 (Replaced for being an outlier)</t>
  </si>
  <si>
    <t>Beds</t>
  </si>
  <si>
    <t>AVG Monthly Fee</t>
  </si>
  <si>
    <t>AVG</t>
  </si>
  <si>
    <t>Expected new residents</t>
  </si>
  <si>
    <t>AVG residents in 1 facility</t>
  </si>
  <si>
    <t>New Sales (by facility)</t>
  </si>
  <si>
    <t>Average residents in 1 facility</t>
  </si>
  <si>
    <t xml:space="preserve">(12) Marketing &amp; Campaigns expenses for Taiwanese Market is spent on 2 main expos annually (Medical Taiwan - Jun &amp; Care Expo Taipei - Sep). Each expo is expected to have US$ 4000. The budget for Taiwanese Market is raised 5% each year. </t>
  </si>
  <si>
    <t>AI Engineer</t>
  </si>
  <si>
    <t>Field Application Engineer (FAE)</t>
  </si>
  <si>
    <t>AI Engineer ($4000 per month)</t>
  </si>
  <si>
    <t>Field Application Engineer ($2500 per month)</t>
  </si>
  <si>
    <t>Lawsuits</t>
  </si>
  <si>
    <t>https://news.ltn.com.tw/news/Kaohsiung/breakingnews/3964990</t>
  </si>
  <si>
    <t>% population</t>
  </si>
  <si>
    <t>Expected population (&gt;65yo) (in millions)</t>
  </si>
  <si>
    <t>4.86</t>
  </si>
  <si>
    <t>5.13</t>
  </si>
  <si>
    <t>5.30</t>
  </si>
  <si>
    <t>5.57</t>
  </si>
  <si>
    <t>5.70</t>
  </si>
  <si>
    <t>20.8%</t>
  </si>
  <si>
    <t>21.3%</t>
  </si>
  <si>
    <t>22.2%</t>
  </si>
  <si>
    <t>24.2%</t>
  </si>
  <si>
    <t>21.7%</t>
  </si>
  <si>
    <t>24.8%</t>
  </si>
  <si>
    <t>Component</t>
  </si>
  <si>
    <t>PCB + Assembly</t>
  </si>
  <si>
    <t>Casing + Strap</t>
  </si>
  <si>
    <t>QA &amp; Testing</t>
  </si>
  <si>
    <t>Packaging</t>
  </si>
  <si>
    <t>(1) Serviceable Available Market (SAM) is expected to increase by 2% each year.</t>
  </si>
  <si>
    <t>Description / Function</t>
  </si>
  <si>
    <t>Cost (USD)</t>
  </si>
  <si>
    <t>MCU + Zigbee</t>
  </si>
  <si>
    <t>Integrated SoC (e.g., CC2652) for processing &amp; Zigbee communication</t>
  </si>
  <si>
    <t>$6.00</t>
  </si>
  <si>
    <t>IMU</t>
  </si>
  <si>
    <t>6‑axis accelerometer + gyroscope (motion, posture)</t>
  </si>
  <si>
    <t>$3.00</t>
  </si>
  <si>
    <t>PPG Sensor</t>
  </si>
  <si>
    <t>Heart rate &amp; SpO₂ monitoring (e.g., MAX30102)</t>
  </si>
  <si>
    <t>$4.00</t>
  </si>
  <si>
    <t>Temperature Sensor</t>
  </si>
  <si>
    <t>Skin temperature measurement</t>
  </si>
  <si>
    <t>$1.00</t>
  </si>
  <si>
    <t>GSR Sensor</t>
  </si>
  <si>
    <t>Galvanic skin response (stress / emotional state)</t>
  </si>
  <si>
    <t>Rechargeable Battery</t>
  </si>
  <si>
    <t>Lithium‑polymer, 100–200 mAh</t>
  </si>
  <si>
    <t>Flex‑wave Module</t>
  </si>
  <si>
    <t>Indoor ambient light harvesting (hybrid charging)</t>
  </si>
  <si>
    <t>$5.00</t>
  </si>
  <si>
    <t>Board fabrication, SMT assembly</t>
  </si>
  <si>
    <t>$8.00</t>
  </si>
  <si>
    <t>Medical‑grade plastic, skin‑friendly strap</t>
  </si>
  <si>
    <t>Functional testing, IP67 waterproof calibration</t>
  </si>
  <si>
    <t>Box, manual, charging cable (backup)</t>
  </si>
  <si>
    <t>$43.00</t>
  </si>
  <si>
    <t>Gateway BOM (per unit) – Total $102</t>
  </si>
  <si>
    <t>Wristband BOM (per unit) – Total $43</t>
  </si>
  <si>
    <t>Raspberry Pi 5 (4GB)</t>
  </si>
  <si>
    <t>Main processor for edge AI, data fusion, local alerting</t>
  </si>
  <si>
    <t>$60.00</t>
  </si>
  <si>
    <t>Zigbee USB Dongle</t>
  </si>
  <si>
    <t>Zigbee coordinator (e.g., SONOFF CC2652P)</t>
  </si>
  <si>
    <t>$15.00</t>
  </si>
  <si>
    <t>MicroSD Card (32GB)</t>
  </si>
  <si>
    <t>OS + local database storage</t>
  </si>
  <si>
    <t>$7.00</t>
  </si>
  <si>
    <t>Power Supply</t>
  </si>
  <si>
    <t>5V/3A USB‑C adapter</t>
  </si>
  <si>
    <t>$10.00</t>
  </si>
  <si>
    <t>Case + Heatsink</t>
  </si>
  <si>
    <t>Protective enclosure, cooling</t>
  </si>
  <si>
    <t>$102.00</t>
  </si>
  <si>
    <t>Active Residents</t>
  </si>
  <si>
    <t>Cloud + GAI Cost (USD/month)</t>
  </si>
  <si>
    <t>Key Assumptions</t>
  </si>
  <si>
    <t>Phase</t>
  </si>
  <si>
    <t>Infrastructure &amp; Cost Drivers</t>
  </si>
  <si>
    <t>Pilot</t>
  </si>
  <si>
    <t>Mostly AWS/GCP free tier; minimal LLM inference (chatbot trial)</t>
  </si>
  <si>
    <t>Early expansion</t>
  </si>
  <si>
    <t>IoT Core beyond free tier; RDS t3.small; chatbot active for 2–3 facilities</t>
  </si>
  <si>
    <t>Growth</t>
  </si>
  <si>
    <t>Production RDS (t3.medium); API Gateway + CloudFront; moderate LLM usage</t>
  </si>
  <si>
    <t>Large expansion</t>
  </si>
  <si>
    <t>Aurora Serverless or larger RDS; GPU spot for LLM; NAT Gateway, backup</t>
  </si>
  <si>
    <t>Full scale</t>
  </si>
  <si>
    <t>Production cluster (Aurora PostgreSQL); load balancer; significant LLM inference</t>
  </si>
  <si>
    <t>50–70</t>
  </si>
  <si>
    <t>150–200</t>
  </si>
  <si>
    <t>300–500</t>
  </si>
  <si>
    <t>500–800</t>
  </si>
  <si>
    <t>1,000–1,500</t>
  </si>
  <si>
    <t>1. Compute (Application Backend &amp; APIs)</t>
  </si>
  <si>
    <t>Item</t>
  </si>
  <si>
    <t>Description</t>
  </si>
  <si>
    <t>Typical Pricing (AWS/GCP/Azure)</t>
  </si>
  <si>
    <t>Virtual machines (EC2 / Compute Engine)</t>
  </si>
  <si>
    <t>Hosting API server, dashboard backend, data processing</t>
  </si>
  <si>
    <t>Starting from ~$8–15/month for t3.micro (1 vCPU, 1GB RAM) after free tier</t>
  </si>
  <si>
    <t>Auto‑scaling group (optional)</t>
  </si>
  <si>
    <t>For handling traffic spikes</t>
  </si>
  <si>
    <t>Additional cost based on instance hours</t>
  </si>
  <si>
    <t>Load balancer (ALB / CLB)</t>
  </si>
  <si>
    <t>Distribute traffic across backend instances</t>
  </si>
  <si>
    <t>2. Database &amp; Storage</t>
  </si>
  <si>
    <t>Typical Pricing</t>
  </si>
  <si>
    <t>Relational database (PostgreSQL)</t>
  </si>
  <si>
    <t>Store user accounts, facilities, alerts, configurations</t>
  </si>
  <si>
    <t>~$15–30/month for db.t3.micro; scales with storage</t>
  </si>
  <si>
    <t>Time‑series database (InfluxDB / Timestream)</t>
  </si>
  <si>
    <t>Store vital signs (HR, SpO₂, temperature, motion)</t>
  </si>
  <si>
    <t>Free tier available; paid ~$0.50–1.00 per million writes. Self‑hosted InfluxDB OSS is free.</t>
  </si>
  <si>
    <t>Object storage (S3 / GCS)</t>
  </si>
  <si>
    <t>Store logs, ML models, reports, backups</t>
  </si>
  <si>
    <t>~$0.023/GB per month; minimal cost for pilot</t>
  </si>
  <si>
    <t>Backup &amp; archival (Glacier / Coldline)</t>
  </si>
  <si>
    <t>Long‑term backup of critical data</t>
  </si>
  <si>
    <t>~$0.004/GB per month</t>
  </si>
  <si>
    <t>3. IoT &amp; Messaging</t>
  </si>
  <si>
    <t>IoT message broker (AWS IoT Core / MQTT)</t>
  </si>
  <si>
    <t>Receive data from gateways</t>
  </si>
  <si>
    <t>Free tier: 250k messages/month (12 months). After: ~$1 per million messages</t>
  </si>
  <si>
    <t>NAT Gateway</t>
  </si>
  <si>
    <t>Allow private instances to access internet (e.g., for updates)</t>
  </si>
  <si>
    <t>4. API &amp; Web Delivery</t>
  </si>
  <si>
    <t>API Gateway</t>
  </si>
  <si>
    <t>Expose REST/HTTP API for web/mobile apps</t>
  </si>
  <si>
    <t>Free tier: 1M requests/month. After: ~$1–3.50 per million requests (HTTP vs REST)</t>
  </si>
  <si>
    <t>CDN (CloudFront / Cloud CDN)</t>
  </si>
  <si>
    <t>Deliver dashboard static assets (images, JS, CSS)</t>
  </si>
  <si>
    <t>~$0.085/GB for data transfer; free tier available</t>
  </si>
  <si>
    <t>5. Generative AI (GAI) – LLM Inference</t>
  </si>
  <si>
    <t>Typical Pricing (as of 2025)</t>
  </si>
  <si>
    <t>LLM API calls (token‑based)</t>
  </si>
  <si>
    <t>Chatbot answers nurse questions</t>
  </si>
  <si>
    <t>Prompt caching (if supported)</t>
  </si>
  <si>
    <t>Reduces cost for repeated context</t>
  </si>
  <si>
    <t>GPU instances for fine‑tuning</t>
  </si>
  <si>
    <t>Train or fine‑tune models with proprietary data</t>
  </si>
  <si>
    <t>~$0.50–1.00 per hour (spot instance) for g4dn.xlarge (T4 GPU)</t>
  </si>
  <si>
    <t>Vector database (optional)</t>
  </si>
  <si>
    <t>For retrieval‑augmented generation (RAG)</t>
  </si>
  <si>
    <t>Pinecone / Milvus Cloud: starting ~$75/month for small scale. Self‑hosted is free.</t>
  </si>
  <si>
    <t>6. Monitoring, Logging &amp; Management</t>
  </si>
  <si>
    <t>Cloud logging (CloudWatch / Stackdriver)</t>
  </si>
  <si>
    <t>Aggregate logs from services</t>
  </si>
  <si>
    <t>~$0.50/GB ingested; first 5GB may be free</t>
  </si>
  <si>
    <t>Metrics &amp; alerts</t>
  </si>
  <si>
    <t>Monitor API uptime, error rates, resource usage</t>
  </si>
  <si>
    <t>Usually included in basic monitoring</t>
  </si>
  <si>
    <t>Tracing (e.g., AWS X‑Ray)</t>
  </si>
  <si>
    <t>Debug performance bottlenecks</t>
  </si>
  <si>
    <t>~$0.00002 per trace (very low for pilot)</t>
  </si>
  <si>
    <t>7. Development &amp; One‑Time Costs (not monthly)</t>
  </si>
  <si>
    <t>Estimated Cost (one‑time)</t>
  </si>
  <si>
    <t>GAI MVP (chatbot + RAG + basic dashboard)</t>
  </si>
  <si>
    <t>Build conversational AI for nurse queries</t>
  </si>
  <si>
    <t>Production GAI (staffing optimization, automated reporting, deep integration)</t>
  </si>
  <si>
    <t>Advanced labor‑saving features</t>
  </si>
  <si>
    <t>Backend + API development</t>
  </si>
  <si>
    <t>Nurse dashboard, mobile app backend</t>
  </si>
  <si>
    <t>MLOps pipeline setup</t>
  </si>
  <si>
    <t>Model versioning, inference logging, retraining triggers</t>
  </si>
  <si>
    <r>
      <t>~18–25/month+18–25/</t>
    </r>
    <r>
      <rPr>
        <i/>
        <sz val="11"/>
        <color theme="1"/>
        <rFont val="Calibri"/>
        <family val="2"/>
        <scheme val="minor"/>
      </rPr>
      <t>month</t>
    </r>
    <r>
      <rPr>
        <sz val="11"/>
        <color theme="1"/>
        <rFont val="Calibri"/>
        <family val="2"/>
        <scheme val="minor"/>
      </rPr>
      <t>+0.008 per GB processed</t>
    </r>
  </si>
  <si>
    <r>
      <t>~0.045/hour+dataprocessing( 0.045/</t>
    </r>
    <r>
      <rPr>
        <i/>
        <sz val="11"/>
        <color theme="1"/>
        <rFont val="Calibri"/>
        <family val="2"/>
        <scheme val="minor"/>
      </rPr>
      <t>hour</t>
    </r>
    <r>
      <rPr>
        <sz val="11"/>
        <color theme="1"/>
        <rFont val="Calibri"/>
        <family val="2"/>
        <scheme val="minor"/>
      </rPr>
      <t>+</t>
    </r>
    <r>
      <rPr>
        <i/>
        <sz val="11"/>
        <color theme="1"/>
        <rFont val="Calibri"/>
        <family val="2"/>
        <scheme val="minor"/>
      </rPr>
      <t>dataprocessing</t>
    </r>
    <r>
      <rPr>
        <sz val="11"/>
        <color theme="1"/>
        <rFont val="Calibri"/>
        <family val="2"/>
        <scheme val="minor"/>
      </rPr>
      <t>( 45/month) – optional for pilot</t>
    </r>
  </si>
  <si>
    <r>
      <t>GPT‑4o mini: 0.15/1Minputtokens,0.15/1</t>
    </r>
    <r>
      <rPr>
        <i/>
        <sz val="11"/>
        <color theme="1"/>
        <rFont val="Calibri"/>
        <family val="2"/>
        <scheme val="minor"/>
      </rPr>
      <t>Minputtokens</t>
    </r>
    <r>
      <rPr>
        <sz val="11"/>
        <color theme="1"/>
        <rFont val="Calibri"/>
        <family val="2"/>
        <scheme val="minor"/>
      </rPr>
      <t>,0.60 / 1M output tokens.</t>
    </r>
  </si>
  <si>
    <r>
      <t>Claude 3 Haiku: ~0.25/1Minput,0.25/1</t>
    </r>
    <r>
      <rPr>
        <i/>
        <sz val="11"/>
        <color theme="1"/>
        <rFont val="Calibri"/>
        <family val="2"/>
        <scheme val="minor"/>
      </rPr>
      <t>Minput</t>
    </r>
    <r>
      <rPr>
        <sz val="11"/>
        <color theme="1"/>
        <rFont val="Calibri"/>
        <family val="2"/>
        <scheme val="minor"/>
      </rPr>
      <t>,1.25 / 1M output.</t>
    </r>
  </si>
  <si>
    <t>GPT‑5‑nano (Azure): 0.05/0.05/0.40</t>
  </si>
  <si>
    <r>
      <t>Azure GPT‑5: input tokens reduce from 1.25to1.25</t>
    </r>
    <r>
      <rPr>
        <i/>
        <sz val="11"/>
        <color theme="1"/>
        <rFont val="Calibri"/>
        <family val="2"/>
        <scheme val="minor"/>
      </rPr>
      <t>to</t>
    </r>
    <r>
      <rPr>
        <sz val="11"/>
        <color theme="1"/>
        <rFont val="Calibri"/>
        <family val="2"/>
        <scheme val="minor"/>
      </rPr>
      <t>0.125 / 1M</t>
    </r>
  </si>
  <si>
    <t>20,000–20,000–40,000</t>
  </si>
  <si>
    <t>50,000–50,000–100,000</t>
  </si>
  <si>
    <t>15,000–15,000–25,000 (in‑house or outsourced)</t>
  </si>
  <si>
    <t>3,000–3,000–5,000</t>
  </si>
  <si>
    <t>AVG (month)</t>
  </si>
  <si>
    <t>AVG (yearly)</t>
  </si>
  <si>
    <t xml:space="preserve">(3) Wristband cost: US$ = 43; Gateway cost: US$ = 102. Assume that the cost of the Hardware COSG is affected by 3% inflation every year. </t>
  </si>
  <si>
    <t>(2) Wristband: US$ =99; Gateway: US$ =325$. Assumed that each 10 residents needs 1 Gateways. Installation Fee is included in the selling price.</t>
  </si>
  <si>
    <t>AVG cost/ resident (yearly)</t>
  </si>
  <si>
    <t>Infrastructure cost (per resident)</t>
  </si>
  <si>
    <t>(6) Infrastructure cost is on 9th Tab.</t>
  </si>
  <si>
    <t>Mobile Developer</t>
  </si>
  <si>
    <t>Assets</t>
  </si>
  <si>
    <t>Current assets:</t>
  </si>
  <si>
    <t>Cash</t>
  </si>
  <si>
    <t>Accounts Receivable</t>
  </si>
  <si>
    <t>Inventory</t>
  </si>
  <si>
    <t>Total current assets</t>
  </si>
  <si>
    <t>Property &amp; Equipment</t>
  </si>
  <si>
    <t>Total Assets</t>
  </si>
  <si>
    <t>Liabilities</t>
  </si>
  <si>
    <t>Accounts Payable</t>
  </si>
  <si>
    <t>Accrued expenses</t>
  </si>
  <si>
    <t>Total Liabilities</t>
  </si>
  <si>
    <t>Equity Capital</t>
  </si>
  <si>
    <t>Retained Earnings</t>
  </si>
  <si>
    <t>Check</t>
  </si>
  <si>
    <t>Fixed assets:</t>
  </si>
  <si>
    <t>Equity</t>
  </si>
  <si>
    <t>Total Equity</t>
  </si>
  <si>
    <t>Symbol</t>
  </si>
  <si>
    <t>Value</t>
  </si>
  <si>
    <t>Explanation</t>
  </si>
  <si>
    <t>Days Sales Outstanding</t>
  </si>
  <si>
    <t>DSO</t>
  </si>
  <si>
    <t>30 days</t>
  </si>
  <si>
    <t>Nursing homes pay within 30 days</t>
  </si>
  <si>
    <t>Days Payable Outstanding</t>
  </si>
  <si>
    <t>DPO</t>
  </si>
  <si>
    <t>Inventory Days</t>
  </si>
  <si>
    <t>InvDays</t>
  </si>
  <si>
    <t>15 days</t>
  </si>
  <si>
    <t>Accrued Expenses Days</t>
  </si>
  <si>
    <t>AccDays</t>
  </si>
  <si>
    <t>Salaries and other OpEx are paid semi‑monthly</t>
  </si>
  <si>
    <t>Depreciation (annual)</t>
  </si>
  <si>
    <t>–</t>
  </si>
  <si>
    <t>$0</t>
  </si>
  <si>
    <t>Assume office equipment is expensed, no large fixed assets yet</t>
  </si>
  <si>
    <t>Capital Expenditures</t>
  </si>
  <si>
    <t>Capex</t>
  </si>
  <si>
    <t>No significant asset purchases beyond laptops (already in OpEx)</t>
  </si>
  <si>
    <t>We pay suppliers within 30 days</t>
  </si>
  <si>
    <t>We hold 15 days of COGS as finished goods</t>
  </si>
  <si>
    <t>Total Liabilities &amp; Equity</t>
  </si>
  <si>
    <t>Operating Cash Flow</t>
  </si>
  <si>
    <t>Net Earnings</t>
  </si>
  <si>
    <t>Plus: Depreciation &amp; Amortization</t>
  </si>
  <si>
    <t>Less: Changes in Working Capital</t>
  </si>
  <si>
    <t>Cash from Operations</t>
  </si>
  <si>
    <t>Investing Cash Flow</t>
  </si>
  <si>
    <t>Investments in Property &amp; Equipment</t>
  </si>
  <si>
    <t>Cash from Investing</t>
  </si>
  <si>
    <t>Financing Cash Flow</t>
  </si>
  <si>
    <t>Issuance (repayment) of debt</t>
  </si>
  <si>
    <t>Issuance (repayment) of equity</t>
  </si>
  <si>
    <t>Cash from Financing</t>
  </si>
  <si>
    <t>Net Increase (decrease) in Cash</t>
  </si>
  <si>
    <t>Opening Cash Balance</t>
  </si>
  <si>
    <t>Closing Cash Balance</t>
  </si>
  <si>
    <t>Pro-Forma Balance Sheet</t>
  </si>
  <si>
    <t>Pro-Forma Cash Flow Statement</t>
  </si>
  <si>
    <t>(1) Annual Service Fee is calculated based on 5% of Average Nursing Homes fee each month each patient (US$43/patient/month).</t>
  </si>
  <si>
    <t>(8) Spend US$6500 for NCC, RoHS, IP67 in Y1. For each year from Y2 to Y5, US$1500 is allocated for certificates. Assume that certificates are amortized in 5 years.</t>
  </si>
  <si>
    <t xml:space="preserve">Free Cash Flow </t>
  </si>
  <si>
    <t>TV</t>
  </si>
  <si>
    <t>PV(TV)</t>
  </si>
  <si>
    <t>g (assume that growth) = 2%</t>
  </si>
  <si>
    <t>IRR (no TV)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</si>
</sst>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[$$-409]#,##0.0"/>
    <numFmt numFmtId="168" formatCode="#,##0.0"/>
    <numFmt numFmtId="169" formatCode="#,##0.0_);\(#,##0.0\)"/>
    <numFmt numFmtId="170" formatCode="[$$-409]#,##0.0_);\([$$-409]#,##0.0\)"/>
    <numFmt numFmtId="171" formatCode="0.000%"/>
    <numFmt numFmtId="172" formatCode="[$$-409]#,##0"/>
    <numFmt numFmtId="173" formatCode="_-* #,##0_-;\(#,##0\)_-;_-* &quot;-&quot;_-;_-@_-"/>
    <numFmt numFmtId="174" formatCode="0.000"/>
  </numFmts>
  <fonts count="3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432FF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2"/>
      <color rgb="FF212529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rgb="FF0F1115"/>
      <name val="Arial"/>
      <family val="2"/>
    </font>
    <font>
      <sz val="11"/>
      <color rgb="FF0F1115"/>
      <name val="Arial"/>
      <family val="2"/>
    </font>
    <font>
      <b/>
      <sz val="11"/>
      <color rgb="FF0F1115"/>
      <name val="Arial"/>
      <family val="2"/>
    </font>
    <font>
      <b/>
      <sz val="11"/>
      <color rgb="FF0F1115"/>
      <name val="Calibri"/>
      <family val="2"/>
      <scheme val="minor"/>
    </font>
    <font>
      <sz val="11"/>
      <color rgb="FF0F1115"/>
      <name val="Calibri"/>
      <family val="2"/>
      <scheme val="minor"/>
    </font>
    <font>
      <sz val="11"/>
      <color rgb="FF0F1115"/>
      <name val="Calibri"/>
      <family val="2"/>
      <scheme val="minor"/>
    </font>
    <font>
      <sz val="11"/>
      <color rgb="FF0F1115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271D2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293D68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 tint="-0.499984740745262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22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5" fontId="4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6" fillId="4" borderId="0" xfId="0" applyFont="1" applyFill="1"/>
    <xf numFmtId="0" fontId="5" fillId="0" borderId="0" xfId="0" applyFont="1" applyAlignment="1">
      <alignment horizontal="left" indent="1"/>
    </xf>
    <xf numFmtId="0" fontId="6" fillId="0" borderId="0" xfId="0" applyFont="1"/>
    <xf numFmtId="0" fontId="6" fillId="0" borderId="1" xfId="0" applyFont="1" applyBorder="1"/>
    <xf numFmtId="165" fontId="6" fillId="0" borderId="0" xfId="0" applyNumberFormat="1" applyFont="1"/>
    <xf numFmtId="9" fontId="7" fillId="0" borderId="0" xfId="0" applyNumberFormat="1" applyFont="1"/>
    <xf numFmtId="0" fontId="8" fillId="0" borderId="0" xfId="0" applyFont="1"/>
    <xf numFmtId="166" fontId="8" fillId="0" borderId="0" xfId="2" applyNumberFormat="1" applyFont="1"/>
    <xf numFmtId="0" fontId="2" fillId="3" borderId="0" xfId="0" applyFont="1" applyFill="1"/>
    <xf numFmtId="17" fontId="3" fillId="3" borderId="0" xfId="0" applyNumberFormat="1" applyFont="1" applyFill="1" applyAlignment="1">
      <alignment horizontal="right"/>
    </xf>
    <xf numFmtId="0" fontId="2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0" borderId="0" xfId="4"/>
    <xf numFmtId="1" fontId="2" fillId="2" borderId="0" xfId="0" applyNumberFormat="1" applyFont="1" applyFill="1"/>
    <xf numFmtId="9" fontId="0" fillId="0" borderId="0" xfId="0" applyNumberFormat="1"/>
    <xf numFmtId="9" fontId="4" fillId="0" borderId="0" xfId="0" applyNumberFormat="1" applyFont="1"/>
    <xf numFmtId="166" fontId="4" fillId="0" borderId="0" xfId="0" applyNumberFormat="1" applyFont="1"/>
    <xf numFmtId="0" fontId="0" fillId="0" borderId="0" xfId="0" applyAlignment="1">
      <alignment horizontal="left" vertical="top"/>
    </xf>
    <xf numFmtId="0" fontId="5" fillId="0" borderId="0" xfId="0" quotePrefix="1" applyFont="1"/>
    <xf numFmtId="167" fontId="7" fillId="0" borderId="0" xfId="0" applyNumberFormat="1" applyFont="1"/>
    <xf numFmtId="167" fontId="6" fillId="0" borderId="0" xfId="0" applyNumberFormat="1" applyFont="1"/>
    <xf numFmtId="41" fontId="4" fillId="0" borderId="0" xfId="3" applyFont="1"/>
    <xf numFmtId="41" fontId="4" fillId="0" borderId="0" xfId="3" applyFont="1" applyAlignment="1">
      <alignment horizontal="left" indent="1"/>
    </xf>
    <xf numFmtId="0" fontId="6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  <xf numFmtId="0" fontId="5" fillId="4" borderId="0" xfId="0" applyFont="1" applyFill="1"/>
    <xf numFmtId="166" fontId="8" fillId="0" borderId="0" xfId="2" applyNumberFormat="1" applyFont="1" applyFill="1" applyBorder="1"/>
    <xf numFmtId="0" fontId="2" fillId="7" borderId="0" xfId="0" applyFont="1" applyFill="1"/>
    <xf numFmtId="17" fontId="3" fillId="7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5" fillId="9" borderId="0" xfId="0" applyFont="1" applyFill="1"/>
    <xf numFmtId="166" fontId="13" fillId="0" borderId="0" xfId="0" applyNumberFormat="1" applyFont="1"/>
    <xf numFmtId="41" fontId="13" fillId="0" borderId="0" xfId="3" applyFont="1"/>
    <xf numFmtId="167" fontId="13" fillId="0" borderId="0" xfId="0" applyNumberFormat="1" applyFont="1"/>
    <xf numFmtId="168" fontId="13" fillId="0" borderId="0" xfId="0" applyNumberFormat="1" applyFont="1"/>
    <xf numFmtId="0" fontId="6" fillId="0" borderId="3" xfId="0" applyFont="1" applyBorder="1" applyAlignment="1">
      <alignment horizontal="left" indent="1"/>
    </xf>
    <xf numFmtId="0" fontId="6" fillId="0" borderId="3" xfId="0" applyFont="1" applyBorder="1" applyAlignment="1">
      <alignment horizontal="left"/>
    </xf>
    <xf numFmtId="165" fontId="13" fillId="0" borderId="3" xfId="0" applyNumberFormat="1" applyFont="1" applyBorder="1"/>
    <xf numFmtId="0" fontId="6" fillId="0" borderId="0" xfId="0" applyFont="1" applyAlignment="1">
      <alignment horizontal="left"/>
    </xf>
    <xf numFmtId="165" fontId="13" fillId="0" borderId="0" xfId="0" applyNumberFormat="1" applyFont="1"/>
    <xf numFmtId="167" fontId="6" fillId="0" borderId="3" xfId="0" applyNumberFormat="1" applyFont="1" applyBorder="1"/>
    <xf numFmtId="169" fontId="14" fillId="0" borderId="3" xfId="0" applyNumberFormat="1" applyFont="1" applyBorder="1"/>
    <xf numFmtId="169" fontId="13" fillId="0" borderId="0" xfId="3" applyNumberFormat="1" applyFont="1"/>
    <xf numFmtId="169" fontId="14" fillId="0" borderId="3" xfId="0" applyNumberFormat="1" applyFont="1" applyBorder="1" applyAlignment="1">
      <alignment horizontal="left" indent="17"/>
    </xf>
    <xf numFmtId="170" fontId="13" fillId="0" borderId="0" xfId="0" applyNumberFormat="1" applyFont="1"/>
    <xf numFmtId="170" fontId="6" fillId="0" borderId="3" xfId="0" applyNumberFormat="1" applyFont="1" applyBorder="1"/>
    <xf numFmtId="166" fontId="3" fillId="7" borderId="0" xfId="0" applyNumberFormat="1" applyFont="1" applyFill="1" applyAlignment="1">
      <alignment horizontal="right"/>
    </xf>
    <xf numFmtId="166" fontId="5" fillId="9" borderId="0" xfId="0" applyNumberFormat="1" applyFont="1" applyFill="1"/>
    <xf numFmtId="166" fontId="5" fillId="0" borderId="0" xfId="0" applyNumberFormat="1" applyFont="1"/>
    <xf numFmtId="166" fontId="14" fillId="0" borderId="3" xfId="0" applyNumberFormat="1" applyFont="1" applyBorder="1" applyAlignment="1">
      <alignment horizontal="left" indent="17"/>
    </xf>
    <xf numFmtId="166" fontId="14" fillId="0" borderId="3" xfId="0" applyNumberFormat="1" applyFont="1" applyBorder="1"/>
    <xf numFmtId="171" fontId="13" fillId="0" borderId="0" xfId="0" applyNumberFormat="1" applyFont="1"/>
    <xf numFmtId="0" fontId="2" fillId="10" borderId="0" xfId="0" applyFont="1" applyFill="1" applyAlignment="1">
      <alignment horizontal="center"/>
    </xf>
    <xf numFmtId="0" fontId="2" fillId="10" borderId="0" xfId="0" applyFont="1" applyFill="1"/>
    <xf numFmtId="1" fontId="2" fillId="10" borderId="0" xfId="0" applyNumberFormat="1" applyFont="1" applyFill="1"/>
    <xf numFmtId="0" fontId="2" fillId="11" borderId="0" xfId="0" applyFont="1" applyFill="1"/>
    <xf numFmtId="0" fontId="2" fillId="11" borderId="0" xfId="0" applyFont="1" applyFill="1" applyAlignment="1">
      <alignment horizontal="center"/>
    </xf>
    <xf numFmtId="17" fontId="3" fillId="11" borderId="0" xfId="0" applyNumberFormat="1" applyFont="1" applyFill="1" applyAlignment="1">
      <alignment horizontal="right"/>
    </xf>
    <xf numFmtId="0" fontId="6" fillId="12" borderId="0" xfId="0" applyFont="1" applyFill="1"/>
    <xf numFmtId="0" fontId="5" fillId="12" borderId="0" xfId="0" applyFont="1" applyFill="1" applyAlignment="1">
      <alignment horizontal="center"/>
    </xf>
    <xf numFmtId="0" fontId="5" fillId="12" borderId="0" xfId="0" applyFont="1" applyFill="1"/>
    <xf numFmtId="0" fontId="11" fillId="0" borderId="0" xfId="0" applyFont="1" applyAlignment="1">
      <alignment horizontal="left"/>
    </xf>
    <xf numFmtId="0" fontId="11" fillId="0" borderId="0" xfId="0" applyFont="1"/>
    <xf numFmtId="1" fontId="15" fillId="0" borderId="0" xfId="0" applyNumberFormat="1" applyFont="1"/>
    <xf numFmtId="0" fontId="15" fillId="0" borderId="0" xfId="0" applyFont="1"/>
    <xf numFmtId="1" fontId="15" fillId="0" borderId="0" xfId="3" applyNumberFormat="1" applyFont="1"/>
    <xf numFmtId="167" fontId="15" fillId="0" borderId="0" xfId="0" applyNumberFormat="1" applyFont="1"/>
    <xf numFmtId="0" fontId="6" fillId="0" borderId="3" xfId="0" applyFont="1" applyBorder="1" applyAlignment="1">
      <alignment horizontal="center"/>
    </xf>
    <xf numFmtId="1" fontId="16" fillId="0" borderId="3" xfId="3" applyNumberFormat="1" applyFont="1" applyBorder="1"/>
    <xf numFmtId="170" fontId="5" fillId="0" borderId="0" xfId="0" applyNumberFormat="1" applyFont="1"/>
    <xf numFmtId="170" fontId="6" fillId="0" borderId="1" xfId="0" applyNumberFormat="1" applyFont="1" applyBorder="1"/>
    <xf numFmtId="0" fontId="6" fillId="0" borderId="0" xfId="0" applyFont="1" applyAlignment="1">
      <alignment horizontal="left" indent="1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167" fontId="6" fillId="5" borderId="0" xfId="0" applyNumberFormat="1" applyFont="1" applyFill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center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center"/>
    </xf>
    <xf numFmtId="167" fontId="15" fillId="0" borderId="3" xfId="0" applyNumberFormat="1" applyFont="1" applyBorder="1"/>
    <xf numFmtId="172" fontId="5" fillId="0" borderId="0" xfId="0" applyNumberFormat="1" applyFont="1" applyAlignment="1">
      <alignment horizontal="center"/>
    </xf>
    <xf numFmtId="172" fontId="5" fillId="0" borderId="3" xfId="0" applyNumberFormat="1" applyFont="1" applyBorder="1" applyAlignment="1">
      <alignment horizontal="center"/>
    </xf>
    <xf numFmtId="0" fontId="18" fillId="0" borderId="0" xfId="0" applyFont="1" applyAlignment="1">
      <alignment horizontal="center"/>
    </xf>
    <xf numFmtId="167" fontId="5" fillId="0" borderId="0" xfId="0" applyNumberFormat="1" applyFont="1"/>
    <xf numFmtId="167" fontId="5" fillId="0" borderId="0" xfId="2" applyNumberFormat="1" applyFont="1" applyBorder="1"/>
    <xf numFmtId="170" fontId="6" fillId="0" borderId="0" xfId="0" applyNumberFormat="1" applyFont="1"/>
    <xf numFmtId="0" fontId="6" fillId="0" borderId="3" xfId="0" applyFont="1" applyBorder="1"/>
    <xf numFmtId="167" fontId="5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7" fontId="4" fillId="0" borderId="0" xfId="3" applyNumberFormat="1" applyFont="1" applyAlignment="1"/>
    <xf numFmtId="0" fontId="11" fillId="13" borderId="4" xfId="0" applyFont="1" applyFill="1" applyBorder="1" applyAlignment="1">
      <alignment horizontal="center"/>
    </xf>
    <xf numFmtId="167" fontId="0" fillId="0" borderId="0" xfId="0" applyNumberFormat="1"/>
    <xf numFmtId="0" fontId="11" fillId="5" borderId="5" xfId="0" applyFont="1" applyFill="1" applyBorder="1"/>
    <xf numFmtId="0" fontId="0" fillId="5" borderId="5" xfId="0" applyFill="1" applyBorder="1"/>
    <xf numFmtId="0" fontId="6" fillId="5" borderId="5" xfId="0" applyFont="1" applyFill="1" applyBorder="1"/>
    <xf numFmtId="0" fontId="6" fillId="5" borderId="5" xfId="0" applyFont="1" applyFill="1" applyBorder="1" applyAlignment="1">
      <alignment horizontal="center"/>
    </xf>
    <xf numFmtId="167" fontId="6" fillId="5" borderId="5" xfId="0" applyNumberFormat="1" applyFont="1" applyFill="1" applyBorder="1"/>
    <xf numFmtId="0" fontId="6" fillId="5" borderId="5" xfId="0" applyFont="1" applyFill="1" applyBorder="1" applyAlignment="1">
      <alignment horizontal="left"/>
    </xf>
    <xf numFmtId="0" fontId="5" fillId="5" borderId="5" xfId="0" applyFont="1" applyFill="1" applyBorder="1"/>
    <xf numFmtId="166" fontId="5" fillId="5" borderId="5" xfId="0" applyNumberFormat="1" applyFont="1" applyFill="1" applyBorder="1"/>
    <xf numFmtId="167" fontId="11" fillId="5" borderId="5" xfId="0" applyNumberFormat="1" applyFont="1" applyFill="1" applyBorder="1"/>
    <xf numFmtId="0" fontId="11" fillId="5" borderId="0" xfId="0" applyFont="1" applyFill="1"/>
    <xf numFmtId="9" fontId="11" fillId="5" borderId="0" xfId="0" applyNumberFormat="1" applyFont="1" applyFill="1"/>
    <xf numFmtId="0" fontId="11" fillId="4" borderId="0" xfId="0" applyFont="1" applyFill="1"/>
    <xf numFmtId="0" fontId="11" fillId="14" borderId="0" xfId="0" applyFont="1" applyFill="1"/>
    <xf numFmtId="41" fontId="7" fillId="0" borderId="0" xfId="3" applyFont="1" applyAlignment="1">
      <alignment horizontal="left" indent="1"/>
    </xf>
    <xf numFmtId="1" fontId="7" fillId="0" borderId="0" xfId="0" applyNumberFormat="1" applyFont="1"/>
    <xf numFmtId="0" fontId="17" fillId="0" borderId="0" xfId="3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2" fillId="0" borderId="0" xfId="0" applyFont="1"/>
    <xf numFmtId="17" fontId="3" fillId="0" borderId="0" xfId="0" applyNumberFormat="1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17" fillId="0" borderId="0" xfId="0" applyFont="1"/>
    <xf numFmtId="0" fontId="11" fillId="6" borderId="0" xfId="0" applyFont="1" applyFill="1" applyAlignment="1">
      <alignment horizontal="center"/>
    </xf>
    <xf numFmtId="41" fontId="19" fillId="0" borderId="0" xfId="3" applyFont="1"/>
    <xf numFmtId="41" fontId="5" fillId="0" borderId="0" xfId="3" applyFont="1" applyAlignment="1">
      <alignment horizontal="right"/>
    </xf>
    <xf numFmtId="41" fontId="17" fillId="0" borderId="0" xfId="3" applyFont="1" applyAlignment="1">
      <alignment horizontal="left" indent="1"/>
    </xf>
    <xf numFmtId="167" fontId="17" fillId="0" borderId="0" xfId="0" applyNumberFormat="1" applyFont="1"/>
    <xf numFmtId="0" fontId="20" fillId="0" borderId="0" xfId="0" applyFont="1" applyAlignment="1">
      <alignment horizontal="left"/>
    </xf>
    <xf numFmtId="0" fontId="17" fillId="0" borderId="2" xfId="0" applyFont="1" applyBorder="1" applyAlignment="1">
      <alignment horizontal="left" indent="1"/>
    </xf>
    <xf numFmtId="0" fontId="17" fillId="0" borderId="2" xfId="0" applyFont="1" applyBorder="1" applyAlignment="1">
      <alignment horizontal="center"/>
    </xf>
    <xf numFmtId="167" fontId="17" fillId="0" borderId="2" xfId="0" applyNumberFormat="1" applyFont="1" applyBorder="1"/>
    <xf numFmtId="0" fontId="24" fillId="16" borderId="6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/>
    </xf>
    <xf numFmtId="0" fontId="11" fillId="16" borderId="6" xfId="0" applyFont="1" applyFill="1" applyBorder="1" applyAlignment="1">
      <alignment horizontal="center"/>
    </xf>
    <xf numFmtId="1" fontId="0" fillId="0" borderId="0" xfId="0" applyNumberFormat="1"/>
    <xf numFmtId="1" fontId="11" fillId="5" borderId="5" xfId="0" applyNumberFormat="1" applyFont="1" applyFill="1" applyBorder="1"/>
    <xf numFmtId="0" fontId="7" fillId="0" borderId="0" xfId="0" applyFont="1" applyAlignment="1">
      <alignment horizontal="left" indent="1"/>
    </xf>
    <xf numFmtId="0" fontId="7" fillId="0" borderId="0" xfId="0" applyFont="1" applyAlignment="1">
      <alignment horizontal="center"/>
    </xf>
    <xf numFmtId="170" fontId="7" fillId="0" borderId="0" xfId="1" applyNumberFormat="1" applyFont="1"/>
    <xf numFmtId="170" fontId="17" fillId="0" borderId="0" xfId="1" applyNumberFormat="1" applyFont="1"/>
    <xf numFmtId="0" fontId="0" fillId="0" borderId="6" xfId="0" applyBorder="1" applyAlignment="1">
      <alignment horizontal="center"/>
    </xf>
    <xf numFmtId="0" fontId="27" fillId="16" borderId="6" xfId="0" applyFont="1" applyFill="1" applyBorder="1" applyAlignment="1">
      <alignment horizontal="center" wrapText="1"/>
    </xf>
    <xf numFmtId="0" fontId="30" fillId="0" borderId="0" xfId="0" applyFont="1"/>
    <xf numFmtId="0" fontId="29" fillId="0" borderId="6" xfId="0" applyFont="1" applyBorder="1"/>
    <xf numFmtId="0" fontId="30" fillId="0" borderId="6" xfId="0" applyFont="1" applyBorder="1"/>
    <xf numFmtId="0" fontId="31" fillId="16" borderId="6" xfId="0" applyFont="1" applyFill="1" applyBorder="1"/>
    <xf numFmtId="0" fontId="30" fillId="16" borderId="6" xfId="0" applyFont="1" applyFill="1" applyBorder="1"/>
    <xf numFmtId="0" fontId="5" fillId="0" borderId="6" xfId="0" applyFont="1" applyBorder="1"/>
    <xf numFmtId="0" fontId="29" fillId="16" borderId="6" xfId="0" applyFont="1" applyFill="1" applyBorder="1"/>
    <xf numFmtId="0" fontId="32" fillId="16" borderId="6" xfId="0" applyFont="1" applyFill="1" applyBorder="1"/>
    <xf numFmtId="0" fontId="29" fillId="16" borderId="0" xfId="0" applyFont="1" applyFill="1"/>
    <xf numFmtId="0" fontId="28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67" fontId="31" fillId="0" borderId="6" xfId="0" applyNumberFormat="1" applyFont="1" applyBorder="1"/>
    <xf numFmtId="167" fontId="5" fillId="0" borderId="0" xfId="2" applyNumberFormat="1" applyFont="1" applyFill="1" applyBorder="1"/>
    <xf numFmtId="167" fontId="4" fillId="0" borderId="0" xfId="3" applyNumberFormat="1" applyFont="1" applyFill="1" applyBorder="1" applyAlignment="1"/>
    <xf numFmtId="41" fontId="19" fillId="0" borderId="0" xfId="3" applyFont="1" applyFill="1" applyBorder="1"/>
    <xf numFmtId="41" fontId="5" fillId="0" borderId="0" xfId="3" applyFont="1" applyFill="1" applyBorder="1" applyAlignment="1">
      <alignment horizontal="right"/>
    </xf>
    <xf numFmtId="173" fontId="6" fillId="0" borderId="0" xfId="1" applyNumberFormat="1" applyFont="1"/>
    <xf numFmtId="173" fontId="7" fillId="0" borderId="0" xfId="1" applyNumberFormat="1" applyFont="1"/>
    <xf numFmtId="173" fontId="5" fillId="0" borderId="0" xfId="1" applyNumberFormat="1" applyFont="1"/>
    <xf numFmtId="173" fontId="5" fillId="0" borderId="0" xfId="1" applyNumberFormat="1" applyFont="1" applyAlignment="1">
      <alignment horizontal="left" indent="2"/>
    </xf>
    <xf numFmtId="173" fontId="5" fillId="0" borderId="2" xfId="1" applyNumberFormat="1" applyFont="1" applyBorder="1" applyAlignment="1">
      <alignment horizontal="left" indent="2"/>
    </xf>
    <xf numFmtId="173" fontId="5" fillId="0" borderId="0" xfId="1" applyNumberFormat="1" applyFont="1" applyFill="1" applyAlignment="1">
      <alignment horizontal="left" indent="2"/>
    </xf>
    <xf numFmtId="173" fontId="5" fillId="0" borderId="0" xfId="1" applyNumberFormat="1" applyFont="1" applyAlignment="1">
      <alignment horizontal="left" indent="1"/>
    </xf>
    <xf numFmtId="173" fontId="6" fillId="0" borderId="0" xfId="1" applyNumberFormat="1" applyFont="1" applyBorder="1"/>
    <xf numFmtId="173" fontId="6" fillId="0" borderId="3" xfId="1" applyNumberFormat="1" applyFont="1" applyBorder="1"/>
    <xf numFmtId="173" fontId="8" fillId="0" borderId="0" xfId="1" applyNumberFormat="1" applyFont="1"/>
    <xf numFmtId="174" fontId="8" fillId="0" borderId="0" xfId="1" applyNumberFormat="1" applyFont="1"/>
    <xf numFmtId="173" fontId="5" fillId="0" borderId="0" xfId="1" applyNumberFormat="1" applyFont="1" applyAlignment="1">
      <alignment horizontal="left"/>
    </xf>
    <xf numFmtId="0" fontId="29" fillId="17" borderId="0" xfId="0" applyFont="1" applyFill="1"/>
    <xf numFmtId="173" fontId="35" fillId="0" borderId="4" xfId="1" applyNumberFormat="1" applyFont="1" applyBorder="1"/>
    <xf numFmtId="173" fontId="35" fillId="0" borderId="3" xfId="1" applyNumberFormat="1" applyFont="1" applyBorder="1"/>
    <xf numFmtId="173" fontId="35" fillId="0" borderId="1" xfId="1" applyNumberFormat="1" applyFont="1" applyBorder="1"/>
    <xf numFmtId="167" fontId="10" fillId="0" borderId="0" xfId="0" applyNumberFormat="1" applyFont="1"/>
    <xf numFmtId="167" fontId="10" fillId="0" borderId="2" xfId="0" applyNumberFormat="1" applyFont="1" applyBorder="1"/>
    <xf numFmtId="167" fontId="7" fillId="0" borderId="0" xfId="1" applyNumberFormat="1" applyFont="1"/>
    <xf numFmtId="167" fontId="10" fillId="0" borderId="0" xfId="3" applyNumberFormat="1" applyFont="1"/>
    <xf numFmtId="167" fontId="35" fillId="0" borderId="4" xfId="1" applyNumberFormat="1" applyFont="1" applyBorder="1"/>
    <xf numFmtId="167" fontId="34" fillId="0" borderId="0" xfId="1" applyNumberFormat="1" applyFont="1" applyBorder="1"/>
    <xf numFmtId="167" fontId="33" fillId="0" borderId="0" xfId="1" applyNumberFormat="1" applyFont="1"/>
    <xf numFmtId="167" fontId="35" fillId="0" borderId="3" xfId="1" applyNumberFormat="1" applyFont="1" applyBorder="1"/>
    <xf numFmtId="167" fontId="20" fillId="0" borderId="0" xfId="1" applyNumberFormat="1" applyFont="1" applyBorder="1"/>
    <xf numFmtId="167" fontId="35" fillId="0" borderId="1" xfId="1" applyNumberFormat="1" applyFont="1" applyBorder="1"/>
    <xf numFmtId="173" fontId="5" fillId="0" borderId="0" xfId="1" applyNumberFormat="1" applyFont="1" applyBorder="1"/>
    <xf numFmtId="173" fontId="5" fillId="0" borderId="0" xfId="1" applyNumberFormat="1" applyFont="1" applyAlignment="1">
      <alignment horizontal="center"/>
    </xf>
    <xf numFmtId="0" fontId="20" fillId="0" borderId="0" xfId="0" applyFont="1"/>
    <xf numFmtId="41" fontId="13" fillId="0" borderId="0" xfId="3" applyFont="1" applyFill="1" applyBorder="1"/>
    <xf numFmtId="169" fontId="14" fillId="0" borderId="0" xfId="0" applyNumberFormat="1" applyFont="1"/>
    <xf numFmtId="166" fontId="14" fillId="0" borderId="0" xfId="0" applyNumberFormat="1" applyFont="1"/>
    <xf numFmtId="169" fontId="13" fillId="0" borderId="0" xfId="3" applyNumberFormat="1" applyFont="1" applyFill="1" applyBorder="1"/>
    <xf numFmtId="41" fontId="0" fillId="0" borderId="0" xfId="3" applyFont="1" applyFill="1" applyBorder="1"/>
    <xf numFmtId="173" fontId="36" fillId="0" borderId="0" xfId="1" applyNumberFormat="1" applyFont="1" applyBorder="1"/>
    <xf numFmtId="167" fontId="7" fillId="0" borderId="0" xfId="1" applyNumberFormat="1" applyFont="1" applyBorder="1"/>
    <xf numFmtId="167" fontId="33" fillId="0" borderId="0" xfId="1" applyNumberFormat="1" applyFont="1" applyBorder="1"/>
    <xf numFmtId="167" fontId="19" fillId="0" borderId="0" xfId="1" applyNumberFormat="1" applyFont="1" applyBorder="1"/>
    <xf numFmtId="167" fontId="10" fillId="0" borderId="0" xfId="1" applyNumberFormat="1" applyFont="1" applyBorder="1"/>
    <xf numFmtId="167" fontId="20" fillId="0" borderId="3" xfId="1" applyNumberFormat="1" applyFont="1" applyBorder="1"/>
    <xf numFmtId="167" fontId="8" fillId="0" borderId="0" xfId="1" applyNumberFormat="1" applyFont="1" applyBorder="1"/>
    <xf numFmtId="167" fontId="11" fillId="5" borderId="0" xfId="0" applyNumberFormat="1" applyFont="1" applyFill="1"/>
    <xf numFmtId="0" fontId="2" fillId="2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15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10" borderId="0" xfId="0" applyFont="1" applyFill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4" applyAlignment="1">
      <alignment horizontal="left" vertical="top" wrapText="1"/>
    </xf>
    <xf numFmtId="0" fontId="24" fillId="16" borderId="6" xfId="0" applyFont="1" applyFill="1" applyBorder="1" applyAlignment="1">
      <alignment horizontal="center" vertical="center" wrapText="1"/>
    </xf>
    <xf numFmtId="0" fontId="28" fillId="16" borderId="6" xfId="0" applyFont="1" applyFill="1" applyBorder="1" applyAlignment="1">
      <alignment horizontal="center"/>
    </xf>
    <xf numFmtId="0" fontId="28" fillId="16" borderId="7" xfId="0" applyFont="1" applyFill="1" applyBorder="1" applyAlignment="1">
      <alignment horizontal="center"/>
    </xf>
    <xf numFmtId="0" fontId="28" fillId="16" borderId="1" xfId="0" applyFont="1" applyFill="1" applyBorder="1" applyAlignment="1">
      <alignment horizontal="center"/>
    </xf>
    <xf numFmtId="0" fontId="28" fillId="16" borderId="8" xfId="0" applyFont="1" applyFill="1" applyBorder="1" applyAlignment="1">
      <alignment horizontal="center"/>
    </xf>
    <xf numFmtId="0" fontId="32" fillId="16" borderId="7" xfId="0" applyFont="1" applyFill="1" applyBorder="1" applyAlignment="1">
      <alignment horizontal="center"/>
    </xf>
    <xf numFmtId="0" fontId="32" fillId="16" borderId="8" xfId="0" applyFont="1" applyFill="1" applyBorder="1" applyAlignment="1">
      <alignment horizontal="center"/>
    </xf>
    <xf numFmtId="0" fontId="5" fillId="0" borderId="0" xfId="0" applyFont="1"/>
    <xf numFmtId="0" fontId="28" fillId="16" borderId="0" xfId="0" applyFont="1" applyFill="1" applyAlignment="1">
      <alignment horizontal="center"/>
    </xf>
    <xf numFmtId="172" fontId="6" fillId="5" borderId="5" xfId="0" applyNumberFormat="1" applyFont="1" applyFill="1" applyBorder="1"/>
  </cellXfs>
  <cellStyles count="5">
    <cellStyle name="Comma" xfId="1" builtinId="3"/>
    <cellStyle name="Comma [0]" xfId="3" builtinId="6"/>
    <cellStyle name="Hyperlink" xfId="4" builtinId="8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FFFF99"/>
      <color rgb="FF0000FF"/>
      <color rgb="FF293D68"/>
      <color rgb="FF0000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NPV: $726.926,9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'7-NPV, IRR, TV'!$F$2</c:f>
              <c:strCache>
                <c:ptCount val="1"/>
                <c:pt idx="0">
                  <c:v>NPV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V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'7-NPV, IRR, TV'!$B$3:$B$9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Total NPV</c:v>
                </c:pt>
              </c:strCache>
            </c:strRef>
          </c:cat>
          <c:val>
            <c:numRef>
              <c:f>'7-NPV, IRR, TV'!$F$3:$F$9</c:f>
              <c:numCache>
                <c:formatCode>[$$-409]#,##0.0</c:formatCode>
                <c:ptCount val="7"/>
                <c:pt idx="0">
                  <c:v>-500000</c:v>
                </c:pt>
                <c:pt idx="1">
                  <c:v>-115918.43036529684</c:v>
                </c:pt>
                <c:pt idx="2">
                  <c:v>25796.42318302895</c:v>
                </c:pt>
                <c:pt idx="3">
                  <c:v>252251.38694870891</c:v>
                </c:pt>
                <c:pt idx="4">
                  <c:v>434592.06177680922</c:v>
                </c:pt>
                <c:pt idx="5">
                  <c:v>630205.45443153195</c:v>
                </c:pt>
                <c:pt idx="6">
                  <c:v>726926.8959747823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6A-ED40-BD10-7098F12E32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692473279"/>
        <c:axId val="1324006912"/>
      </c:lineChart>
      <c:catAx>
        <c:axId val="16924732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324006912"/>
        <c:crosses val="autoZero"/>
        <c:auto val="1"/>
        <c:lblAlgn val="ctr"/>
        <c:lblOffset val="100"/>
        <c:noMultiLvlLbl val="0"/>
      </c:catAx>
      <c:valAx>
        <c:axId val="13240069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[$$-409]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169247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</xdr:row>
      <xdr:rowOff>203200</xdr:rowOff>
    </xdr:from>
    <xdr:to>
      <xdr:col>16</xdr:col>
      <xdr:colOff>127000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9DBBB-7205-E665-6ED1-6500C73A5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.ltn.com.tw/news/Kaohsiung/breakingnews/3964990" TargetMode="External"/><Relationship Id="rId3" Type="http://schemas.openxmlformats.org/officeDocument/2006/relationships/hyperlink" Target="https://www.ncoa.org/product-resources/medical-alert-systems/best-medical-alert-systems-with-fall-detection/?utm_source=chatgpt.com" TargetMode="External"/><Relationship Id="rId7" Type="http://schemas.openxmlformats.org/officeDocument/2006/relationships/hyperlink" Target="https://www.mhlw.go.jp/toukei/saikin/hw/kaigo/service24/dl/gaikyo.pdf?utm_source=chatgpt.com" TargetMode="External"/><Relationship Id="rId2" Type="http://schemas.openxmlformats.org/officeDocument/2006/relationships/hyperlink" Target="https://store.directsupply.com/Product/replacement-wristband-transmitter-tl-4005-door-systems-11023710?quantity=1" TargetMode="External"/><Relationship Id="rId1" Type="http://schemas.openxmlformats.org/officeDocument/2006/relationships/hyperlink" Target="https://stis.mohw.gov.tw/HWSDweb/common/CommonQuery.aspx?code=G&amp;id=69&amp;utm_source=chatgpt.com" TargetMode="External"/><Relationship Id="rId6" Type="http://schemas.openxmlformats.org/officeDocument/2006/relationships/hyperlink" Target="https://www.jkgn.org/journal/view.php?number=619&amp;utm_source=chatgpt.com" TargetMode="External"/><Relationship Id="rId5" Type="http://schemas.openxmlformats.org/officeDocument/2006/relationships/hyperlink" Target="https://nurse.mohw.gov.tw/mp-2.html" TargetMode="External"/><Relationship Id="rId4" Type="http://schemas.openxmlformats.org/officeDocument/2006/relationships/hyperlink" Target="https://www.aftygh.gov.tw/english-dep/nursing-home/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A7C2C-3262-8543-B429-34C657C42EB5}">
  <dimension ref="B2:L67"/>
  <sheetViews>
    <sheetView showGridLines="0" topLeftCell="F1" zoomScale="135" zoomScaleNormal="100" workbookViewId="0">
      <pane ySplit="5" topLeftCell="A6" activePane="bottomLeft" state="frozenSplit"/>
      <selection pane="bottomLeft" activeCell="L11" sqref="L11:L12"/>
    </sheetView>
  </sheetViews>
  <sheetFormatPr baseColWidth="10" defaultColWidth="10.83203125" defaultRowHeight="15" x14ac:dyDescent="0.2"/>
  <cols>
    <col min="1" max="1" width="5.5" style="5" customWidth="1"/>
    <col min="2" max="2" width="39.1640625" style="5" customWidth="1"/>
    <col min="3" max="7" width="22.33203125" style="5" customWidth="1"/>
    <col min="8" max="8" width="10.83203125" style="5"/>
    <col min="9" max="9" width="22.5" style="5" customWidth="1"/>
    <col min="10" max="11" width="10.83203125" style="5"/>
    <col min="12" max="12" width="10.83203125" style="5" customWidth="1"/>
    <col min="13" max="16384" width="10.83203125" style="5"/>
  </cols>
  <sheetData>
    <row r="2" spans="2:12" ht="16" customHeight="1" x14ac:dyDescent="0.2">
      <c r="B2" s="207" t="s">
        <v>14</v>
      </c>
      <c r="C2" s="207"/>
      <c r="D2" s="207"/>
      <c r="E2" s="207"/>
      <c r="F2" s="207"/>
      <c r="G2" s="207"/>
    </row>
    <row r="3" spans="2:12" ht="16" customHeight="1" x14ac:dyDescent="0.2">
      <c r="B3" s="207" t="s">
        <v>571</v>
      </c>
      <c r="C3" s="207"/>
      <c r="D3" s="207"/>
      <c r="E3" s="207"/>
      <c r="F3" s="207"/>
      <c r="G3" s="207"/>
      <c r="H3" s="193"/>
    </row>
    <row r="4" spans="2:12" x14ac:dyDescent="0.2">
      <c r="B4" s="1"/>
      <c r="C4" s="23">
        <v>2027</v>
      </c>
      <c r="D4" s="23">
        <v>2028</v>
      </c>
      <c r="E4" s="23">
        <v>2029</v>
      </c>
      <c r="F4" s="23">
        <v>2030</v>
      </c>
      <c r="G4" s="23">
        <v>2031</v>
      </c>
    </row>
    <row r="5" spans="2:12" x14ac:dyDescent="0.2">
      <c r="B5" s="14"/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I5" s="5" t="s">
        <v>40</v>
      </c>
    </row>
    <row r="6" spans="2:12" x14ac:dyDescent="0.2">
      <c r="B6" s="165" t="s">
        <v>513</v>
      </c>
      <c r="C6" s="166"/>
      <c r="D6" s="166"/>
      <c r="E6" s="166"/>
      <c r="F6" s="166"/>
      <c r="G6" s="166"/>
      <c r="I6" s="177" t="s">
        <v>425</v>
      </c>
      <c r="J6" s="177" t="s">
        <v>531</v>
      </c>
      <c r="K6" s="177" t="s">
        <v>532</v>
      </c>
      <c r="L6" s="177" t="s">
        <v>533</v>
      </c>
    </row>
    <row r="7" spans="2:12" x14ac:dyDescent="0.2">
      <c r="B7" s="167" t="s">
        <v>514</v>
      </c>
      <c r="C7" s="166"/>
      <c r="D7" s="166"/>
      <c r="E7" s="166"/>
      <c r="F7" s="166"/>
      <c r="G7" s="166"/>
      <c r="I7" s="149" t="s">
        <v>534</v>
      </c>
      <c r="J7" s="149" t="s">
        <v>535</v>
      </c>
      <c r="K7" s="149" t="s">
        <v>536</v>
      </c>
      <c r="L7" s="149" t="s">
        <v>537</v>
      </c>
    </row>
    <row r="8" spans="2:12" x14ac:dyDescent="0.2">
      <c r="B8" s="168" t="s">
        <v>515</v>
      </c>
      <c r="C8" s="181">
        <f>'3-Cash Flow Statement'!C23</f>
        <v>360897.88356164377</v>
      </c>
      <c r="D8" s="181">
        <f>'3-Cash Flow Statement'!D23</f>
        <v>398044.73294520547</v>
      </c>
      <c r="E8" s="181">
        <f>'3-Cash Flow Statement'!E23</f>
        <v>833935.12959257443</v>
      </c>
      <c r="F8" s="181">
        <f>'3-Cash Flow Statement'!F23</f>
        <v>1735105.2288929659</v>
      </c>
      <c r="G8" s="181">
        <f>'3-Cash Flow Statement'!G23</f>
        <v>3303258.0652640355</v>
      </c>
      <c r="I8" s="149" t="s">
        <v>538</v>
      </c>
      <c r="J8" s="149" t="s">
        <v>539</v>
      </c>
      <c r="K8" s="149" t="s">
        <v>536</v>
      </c>
      <c r="L8" s="149" t="s">
        <v>553</v>
      </c>
    </row>
    <row r="9" spans="2:12" x14ac:dyDescent="0.2">
      <c r="B9" s="168" t="s">
        <v>516</v>
      </c>
      <c r="C9" s="181">
        <f>('2-Income Statement'!D48*30)/365</f>
        <v>12093.534246575342</v>
      </c>
      <c r="D9" s="181">
        <f>('2-Income Statement'!E48*30)/365</f>
        <v>36971.753424657538</v>
      </c>
      <c r="E9" s="181">
        <f>('2-Income Statement'!F48*30)/365</f>
        <v>93906.26601862922</v>
      </c>
      <c r="F9" s="181">
        <f>('2-Income Statement'!G48*30)/365</f>
        <v>158080.74754697285</v>
      </c>
      <c r="G9" s="181">
        <f>('2-Income Statement'!H48*30)/365</f>
        <v>239747.89078401413</v>
      </c>
      <c r="I9" s="149" t="s">
        <v>540</v>
      </c>
      <c r="J9" s="149" t="s">
        <v>541</v>
      </c>
      <c r="K9" s="149" t="s">
        <v>542</v>
      </c>
      <c r="L9" s="149" t="s">
        <v>554</v>
      </c>
    </row>
    <row r="10" spans="2:12" x14ac:dyDescent="0.2">
      <c r="B10" s="169" t="s">
        <v>517</v>
      </c>
      <c r="C10" s="182">
        <f>('2-Income Statement'!D49*15)/365</f>
        <v>1475.7308219178083</v>
      </c>
      <c r="D10" s="182">
        <f>('2-Income Statement'!E49*15)/365</f>
        <v>3347.8020616438353</v>
      </c>
      <c r="E10" s="182">
        <f>('2-Income Statement'!F49*15)/365</f>
        <v>5044.5687947260276</v>
      </c>
      <c r="F10" s="182">
        <f>('2-Income Statement'!G49*15)/365</f>
        <v>7201.7858052801375</v>
      </c>
      <c r="G10" s="182">
        <f>('2-Income Statement'!H49*15)/365</f>
        <v>9799.4804583618297</v>
      </c>
      <c r="I10" s="149" t="s">
        <v>543</v>
      </c>
      <c r="J10" s="149" t="s">
        <v>544</v>
      </c>
      <c r="K10" s="149" t="s">
        <v>542</v>
      </c>
      <c r="L10" s="149" t="s">
        <v>545</v>
      </c>
    </row>
    <row r="11" spans="2:12" x14ac:dyDescent="0.2">
      <c r="B11" s="170" t="s">
        <v>518</v>
      </c>
      <c r="C11" s="181">
        <f>SUM(C8:C10)</f>
        <v>374467.14863013692</v>
      </c>
      <c r="D11" s="181">
        <f t="shared" ref="D11:G11" si="0">SUM(D8:D10)</f>
        <v>438364.28843150689</v>
      </c>
      <c r="E11" s="181">
        <f t="shared" si="0"/>
        <v>932885.96440592967</v>
      </c>
      <c r="F11" s="181">
        <f t="shared" si="0"/>
        <v>1900387.762245219</v>
      </c>
      <c r="G11" s="181">
        <f t="shared" si="0"/>
        <v>3552805.4365064115</v>
      </c>
      <c r="I11" s="149" t="s">
        <v>546</v>
      </c>
      <c r="J11" s="149" t="s">
        <v>547</v>
      </c>
      <c r="K11" s="149" t="s">
        <v>548</v>
      </c>
      <c r="L11" s="149" t="s">
        <v>549</v>
      </c>
    </row>
    <row r="12" spans="2:12" x14ac:dyDescent="0.2">
      <c r="B12" s="176" t="s">
        <v>528</v>
      </c>
      <c r="C12" s="183"/>
      <c r="D12" s="183"/>
      <c r="E12" s="183"/>
      <c r="F12" s="183"/>
      <c r="G12" s="183"/>
      <c r="I12" s="149" t="s">
        <v>550</v>
      </c>
      <c r="J12" s="149" t="s">
        <v>551</v>
      </c>
      <c r="K12" s="149" t="s">
        <v>548</v>
      </c>
      <c r="L12" s="149" t="s">
        <v>552</v>
      </c>
    </row>
    <row r="13" spans="2:12" x14ac:dyDescent="0.2">
      <c r="B13" s="171" t="s">
        <v>519</v>
      </c>
      <c r="C13" s="184">
        <f>'2-Income Statement'!D38-'2-Income Statement'!D68</f>
        <v>5200</v>
      </c>
      <c r="D13" s="184">
        <f>'2-Income Statement'!D38+'2-Income Statement'!E38-'2-Income Statement'!D68-'2-Income Statement'!E68</f>
        <v>5100</v>
      </c>
      <c r="E13" s="184">
        <f>'2-Income Statement'!D38+'2-Income Statement'!E38+'2-Income Statement'!F38-'2-Income Statement'!D68-'2-Income Statement'!E68-'2-Income Statement'!F68</f>
        <v>4700</v>
      </c>
      <c r="F13" s="184">
        <f>'2-Income Statement'!D38+'2-Income Statement'!E38+'2-Income Statement'!F38+'2-Income Statement'!G38-'2-Income Statement'!D68-'2-Income Statement'!E68-'2-Income Statement'!F68-'2-Income Statement'!G68</f>
        <v>4000</v>
      </c>
      <c r="G13" s="184">
        <f>'2-Income Statement'!D38+'2-Income Statement'!E38+'2-Income Statement'!F38+'2-Income Statement'!G38+'2-Income Statement'!H38-'2-Income Statement'!D68-'2-Income Statement'!E68-'2-Income Statement'!F68-'2-Income Statement'!G68-'2-Income Statement'!H68</f>
        <v>3000</v>
      </c>
    </row>
    <row r="14" spans="2:12" ht="16" thickBot="1" x14ac:dyDescent="0.25">
      <c r="B14" s="178" t="s">
        <v>520</v>
      </c>
      <c r="C14" s="185">
        <f>C11+C13</f>
        <v>379667.14863013692</v>
      </c>
      <c r="D14" s="185">
        <f t="shared" ref="D14:G14" si="1">D11+D13</f>
        <v>443464.28843150689</v>
      </c>
      <c r="E14" s="185">
        <f t="shared" si="1"/>
        <v>937585.96440592967</v>
      </c>
      <c r="F14" s="185">
        <f t="shared" si="1"/>
        <v>1904387.762245219</v>
      </c>
      <c r="G14" s="185">
        <f t="shared" si="1"/>
        <v>3555805.4365064115</v>
      </c>
    </row>
    <row r="15" spans="2:12" ht="16" thickTop="1" x14ac:dyDescent="0.2">
      <c r="B15" s="172"/>
      <c r="C15" s="186"/>
      <c r="D15" s="186"/>
      <c r="E15" s="186"/>
      <c r="F15" s="186"/>
      <c r="G15" s="186"/>
    </row>
    <row r="16" spans="2:12" x14ac:dyDescent="0.2">
      <c r="B16" s="165" t="s">
        <v>521</v>
      </c>
      <c r="C16" s="183"/>
      <c r="D16" s="183"/>
      <c r="E16" s="183"/>
      <c r="F16" s="183"/>
      <c r="G16" s="183"/>
    </row>
    <row r="17" spans="2:7" x14ac:dyDescent="0.2">
      <c r="B17" s="168" t="s">
        <v>522</v>
      </c>
      <c r="C17" s="187">
        <f>('2-Income Statement'!D49*30)/365</f>
        <v>2951.4616438356165</v>
      </c>
      <c r="D17" s="187">
        <f>('2-Income Statement'!E49*30)/365</f>
        <v>6695.6041232876705</v>
      </c>
      <c r="E17" s="187">
        <f>('2-Income Statement'!F49*30)/365</f>
        <v>10089.137589452055</v>
      </c>
      <c r="F17" s="187">
        <f>('2-Income Statement'!G49*30)/365</f>
        <v>14403.571610560275</v>
      </c>
      <c r="G17" s="187">
        <f>('2-Income Statement'!H49*30)/365</f>
        <v>19598.960916723659</v>
      </c>
    </row>
    <row r="18" spans="2:7" x14ac:dyDescent="0.2">
      <c r="B18" s="168" t="s">
        <v>523</v>
      </c>
      <c r="C18" s="187">
        <f>('2-Income Statement'!D66*15)/365</f>
        <v>9994.8369863013704</v>
      </c>
      <c r="D18" s="187">
        <f>('2-Income Statement'!E66*15)/365</f>
        <v>12716.227808219177</v>
      </c>
      <c r="E18" s="187">
        <f>('2-Income Statement'!F66*15)/365</f>
        <v>16833.340057446567</v>
      </c>
      <c r="F18" s="187">
        <f>('2-Income Statement'!G66*15)/365</f>
        <v>22601.650283688905</v>
      </c>
      <c r="G18" s="187">
        <f>('2-Income Statement'!H66*15)/365</f>
        <v>25557.345603045622</v>
      </c>
    </row>
    <row r="19" spans="2:7" x14ac:dyDescent="0.2">
      <c r="B19" s="179" t="s">
        <v>524</v>
      </c>
      <c r="C19" s="188">
        <f>SUM(C17:C18)</f>
        <v>12946.298630136987</v>
      </c>
      <c r="D19" s="188">
        <f t="shared" ref="D19:G19" si="2">SUM(D17:D18)</f>
        <v>19411.831931506847</v>
      </c>
      <c r="E19" s="188">
        <f t="shared" si="2"/>
        <v>26922.477646898624</v>
      </c>
      <c r="F19" s="188">
        <f t="shared" si="2"/>
        <v>37005.221894249182</v>
      </c>
      <c r="G19" s="188">
        <f t="shared" si="2"/>
        <v>45156.306519769278</v>
      </c>
    </row>
    <row r="20" spans="2:7" x14ac:dyDescent="0.2">
      <c r="B20" s="172"/>
      <c r="C20" s="189"/>
      <c r="D20" s="189"/>
      <c r="E20" s="189"/>
      <c r="F20" s="189"/>
      <c r="G20" s="189"/>
    </row>
    <row r="21" spans="2:7" x14ac:dyDescent="0.2">
      <c r="B21" s="165" t="s">
        <v>529</v>
      </c>
      <c r="C21" s="183"/>
      <c r="D21" s="183"/>
      <c r="E21" s="183"/>
      <c r="F21" s="183"/>
      <c r="G21" s="183"/>
    </row>
    <row r="22" spans="2:7" x14ac:dyDescent="0.2">
      <c r="B22" s="167" t="s">
        <v>525</v>
      </c>
      <c r="C22" s="187">
        <v>500000</v>
      </c>
      <c r="D22" s="187">
        <v>500000</v>
      </c>
      <c r="E22" s="187">
        <v>500000</v>
      </c>
      <c r="F22" s="187">
        <v>500000</v>
      </c>
      <c r="G22" s="187">
        <v>500000</v>
      </c>
    </row>
    <row r="23" spans="2:7" x14ac:dyDescent="0.2">
      <c r="B23" s="167" t="s">
        <v>526</v>
      </c>
      <c r="C23" s="187">
        <f>'2-Income Statement'!D71</f>
        <v>-133279.15000000002</v>
      </c>
      <c r="D23" s="187">
        <f>'2-Income Statement'!E71+C23</f>
        <v>-75947.543499999971</v>
      </c>
      <c r="E23" s="187">
        <f>'2-Income Statement'!F71+D23</f>
        <v>410663.48675903108</v>
      </c>
      <c r="F23" s="187">
        <f>'2-Income Statement'!G71+E23</f>
        <v>1367382.5403509699</v>
      </c>
      <c r="G23" s="187">
        <f>'2-Income Statement'!H71+F23</f>
        <v>3010649.1299866424</v>
      </c>
    </row>
    <row r="24" spans="2:7" x14ac:dyDescent="0.2">
      <c r="B24" s="180" t="s">
        <v>530</v>
      </c>
      <c r="C24" s="190">
        <f>SUM(C22:C23)</f>
        <v>366720.85</v>
      </c>
      <c r="D24" s="190">
        <f t="shared" ref="D24:G24" si="3">SUM(D22:D23)</f>
        <v>424052.45650000003</v>
      </c>
      <c r="E24" s="190">
        <f t="shared" si="3"/>
        <v>910663.48675903108</v>
      </c>
      <c r="F24" s="190">
        <f t="shared" si="3"/>
        <v>1867382.5403509699</v>
      </c>
      <c r="G24" s="190">
        <f t="shared" si="3"/>
        <v>3510649.1299866424</v>
      </c>
    </row>
    <row r="25" spans="2:7" ht="16" thickBot="1" x14ac:dyDescent="0.25">
      <c r="B25" s="178" t="s">
        <v>555</v>
      </c>
      <c r="C25" s="185">
        <f>C19+C24</f>
        <v>379667.14863013697</v>
      </c>
      <c r="D25" s="185">
        <f t="shared" ref="D25:G25" si="4">D19+D24</f>
        <v>443464.28843150689</v>
      </c>
      <c r="E25" s="185">
        <f t="shared" si="4"/>
        <v>937585.96440592967</v>
      </c>
      <c r="F25" s="185">
        <f t="shared" si="4"/>
        <v>1904387.762245219</v>
      </c>
      <c r="G25" s="185">
        <f t="shared" si="4"/>
        <v>3555805.4365064115</v>
      </c>
    </row>
    <row r="26" spans="2:7" ht="16" thickTop="1" x14ac:dyDescent="0.2">
      <c r="B26" s="167"/>
      <c r="C26" s="166"/>
      <c r="D26" s="166"/>
      <c r="E26" s="166"/>
      <c r="F26" s="166"/>
      <c r="G26" s="166"/>
    </row>
    <row r="27" spans="2:7" x14ac:dyDescent="0.2">
      <c r="B27" s="174" t="s">
        <v>527</v>
      </c>
      <c r="C27" s="175" t="b">
        <f>C14=C25</f>
        <v>1</v>
      </c>
      <c r="D27" s="175" t="b">
        <f t="shared" ref="D27:G27" si="5">D14=D25</f>
        <v>1</v>
      </c>
      <c r="E27" s="175" t="b">
        <f t="shared" si="5"/>
        <v>1</v>
      </c>
      <c r="F27" s="175" t="b">
        <f t="shared" si="5"/>
        <v>1</v>
      </c>
      <c r="G27" s="175" t="b">
        <f t="shared" si="5"/>
        <v>1</v>
      </c>
    </row>
    <row r="28" spans="2:7" x14ac:dyDescent="0.2">
      <c r="B28" s="8"/>
    </row>
    <row r="29" spans="2:7" x14ac:dyDescent="0.2">
      <c r="B29" s="7"/>
      <c r="C29" s="98"/>
      <c r="D29" s="162"/>
      <c r="E29" s="162"/>
      <c r="F29" s="162"/>
      <c r="G29" s="162"/>
    </row>
    <row r="30" spans="2:7" x14ac:dyDescent="0.2">
      <c r="B30" s="7"/>
      <c r="C30" s="98"/>
      <c r="D30" s="98"/>
      <c r="E30" s="98"/>
      <c r="F30" s="98"/>
      <c r="G30" s="98"/>
    </row>
    <row r="31" spans="2:7" x14ac:dyDescent="0.2">
      <c r="B31" s="7"/>
      <c r="C31" s="98"/>
      <c r="D31" s="98"/>
      <c r="E31" s="98"/>
      <c r="F31" s="98"/>
      <c r="G31" s="98"/>
    </row>
    <row r="32" spans="2:7" x14ac:dyDescent="0.2">
      <c r="B32" s="7"/>
      <c r="C32" s="98"/>
      <c r="D32" s="98"/>
      <c r="E32" s="98"/>
      <c r="F32" s="98"/>
      <c r="G32" s="98"/>
    </row>
    <row r="33" spans="2:12" x14ac:dyDescent="0.2">
      <c r="B33" s="7"/>
      <c r="C33" s="98"/>
      <c r="D33" s="98"/>
      <c r="E33" s="98"/>
      <c r="F33" s="98"/>
      <c r="G33" s="98"/>
    </row>
    <row r="34" spans="2:12" x14ac:dyDescent="0.2">
      <c r="B34" s="7"/>
      <c r="C34" s="98"/>
      <c r="D34" s="98"/>
      <c r="E34" s="98"/>
      <c r="F34" s="98"/>
      <c r="G34" s="98"/>
    </row>
    <row r="35" spans="2:12" x14ac:dyDescent="0.2">
      <c r="B35" s="7"/>
      <c r="C35" s="98"/>
      <c r="D35" s="98"/>
      <c r="E35" s="98"/>
      <c r="F35" s="98"/>
      <c r="G35" s="98"/>
    </row>
    <row r="36" spans="2:12" x14ac:dyDescent="0.2">
      <c r="B36" s="8"/>
      <c r="C36" s="10"/>
      <c r="D36" s="10"/>
      <c r="E36" s="10"/>
      <c r="F36" s="10"/>
      <c r="G36" s="10"/>
    </row>
    <row r="37" spans="2:12" x14ac:dyDescent="0.2">
      <c r="C37" s="11"/>
      <c r="D37" s="11"/>
      <c r="E37" s="11"/>
      <c r="F37" s="11"/>
      <c r="G37" s="11"/>
    </row>
    <row r="39" spans="2:12" x14ac:dyDescent="0.2">
      <c r="B39" s="119"/>
      <c r="C39" s="119"/>
      <c r="D39" s="119"/>
      <c r="E39" s="119"/>
      <c r="F39" s="119"/>
      <c r="G39" s="119"/>
    </row>
    <row r="40" spans="2:12" x14ac:dyDescent="0.2">
      <c r="B40" s="8"/>
      <c r="C40" s="95"/>
      <c r="D40" s="95"/>
      <c r="E40" s="95"/>
      <c r="F40" s="95"/>
      <c r="G40" s="95"/>
    </row>
    <row r="41" spans="2:12" x14ac:dyDescent="0.2">
      <c r="C41" s="79"/>
      <c r="D41" s="79"/>
      <c r="E41" s="79"/>
      <c r="F41" s="79"/>
      <c r="G41" s="79"/>
    </row>
    <row r="42" spans="2:12" x14ac:dyDescent="0.2">
      <c r="B42" s="8"/>
      <c r="C42" s="95"/>
      <c r="D42" s="95"/>
      <c r="E42" s="95"/>
      <c r="F42" s="95"/>
      <c r="G42" s="95"/>
      <c r="H42" s="79"/>
      <c r="I42" s="79"/>
      <c r="J42" s="79"/>
      <c r="K42" s="79"/>
      <c r="L42" s="79"/>
    </row>
    <row r="43" spans="2:12" x14ac:dyDescent="0.2">
      <c r="B43" s="12"/>
      <c r="C43" s="36"/>
      <c r="D43" s="36"/>
      <c r="E43" s="36"/>
      <c r="F43" s="36"/>
      <c r="G43" s="36"/>
    </row>
    <row r="45" spans="2:12" x14ac:dyDescent="0.2">
      <c r="B45" s="8"/>
    </row>
    <row r="46" spans="2:12" x14ac:dyDescent="0.2">
      <c r="B46" s="81"/>
      <c r="C46" s="4"/>
      <c r="D46" s="4"/>
      <c r="E46" s="4"/>
      <c r="F46" s="4"/>
      <c r="G46" s="4"/>
    </row>
    <row r="47" spans="2:12" x14ac:dyDescent="0.2">
      <c r="B47" s="7"/>
      <c r="C47" s="93"/>
      <c r="D47" s="93"/>
      <c r="E47" s="93"/>
      <c r="F47" s="93"/>
      <c r="G47" s="93"/>
    </row>
    <row r="48" spans="2:12" x14ac:dyDescent="0.2">
      <c r="B48" s="7"/>
      <c r="C48" s="93"/>
      <c r="D48" s="93"/>
      <c r="E48" s="93"/>
      <c r="F48" s="93"/>
      <c r="G48" s="93"/>
    </row>
    <row r="49" spans="2:7" x14ac:dyDescent="0.2">
      <c r="B49" s="81"/>
      <c r="C49" s="30"/>
      <c r="D49" s="30"/>
      <c r="E49" s="30"/>
      <c r="F49" s="30"/>
      <c r="G49" s="30"/>
    </row>
    <row r="50" spans="2:7" x14ac:dyDescent="0.2">
      <c r="B50" s="7"/>
      <c r="C50" s="161"/>
      <c r="D50" s="161"/>
      <c r="E50" s="161"/>
      <c r="F50" s="161"/>
      <c r="G50" s="161"/>
    </row>
    <row r="51" spans="2:7" x14ac:dyDescent="0.2">
      <c r="B51" s="7"/>
      <c r="C51" s="93"/>
      <c r="D51" s="93"/>
      <c r="E51" s="93"/>
      <c r="F51" s="93"/>
      <c r="G51" s="93"/>
    </row>
    <row r="52" spans="2:7" x14ac:dyDescent="0.2">
      <c r="B52" s="7"/>
      <c r="C52" s="93"/>
      <c r="D52" s="93"/>
      <c r="E52" s="93"/>
      <c r="F52" s="93"/>
      <c r="G52" s="93"/>
    </row>
    <row r="53" spans="2:7" x14ac:dyDescent="0.2">
      <c r="B53" s="81"/>
      <c r="C53" s="93"/>
      <c r="D53" s="93"/>
      <c r="E53" s="93"/>
      <c r="F53" s="93"/>
      <c r="G53" s="93"/>
    </row>
    <row r="54" spans="2:7" x14ac:dyDescent="0.2">
      <c r="B54" s="7"/>
      <c r="C54" s="93"/>
      <c r="D54" s="93"/>
      <c r="E54" s="93"/>
      <c r="F54" s="93"/>
      <c r="G54" s="93"/>
    </row>
    <row r="55" spans="2:7" x14ac:dyDescent="0.2">
      <c r="B55" s="81"/>
      <c r="C55" s="93"/>
      <c r="D55" s="93"/>
      <c r="E55" s="93"/>
      <c r="F55" s="93"/>
      <c r="G55" s="93"/>
    </row>
    <row r="56" spans="2:7" x14ac:dyDescent="0.2">
      <c r="B56" s="7"/>
      <c r="C56" s="93"/>
      <c r="D56" s="93"/>
      <c r="E56" s="93"/>
      <c r="F56" s="93"/>
      <c r="G56" s="93"/>
    </row>
    <row r="57" spans="2:7" x14ac:dyDescent="0.2">
      <c r="B57" s="7"/>
      <c r="C57" s="93"/>
      <c r="D57" s="93"/>
      <c r="E57" s="93"/>
      <c r="F57" s="93"/>
      <c r="G57" s="93"/>
    </row>
    <row r="58" spans="2:7" x14ac:dyDescent="0.2">
      <c r="B58" s="48"/>
      <c r="C58" s="30"/>
      <c r="D58" s="30"/>
      <c r="E58" s="30"/>
      <c r="F58" s="30"/>
      <c r="G58" s="30"/>
    </row>
    <row r="59" spans="2:7" x14ac:dyDescent="0.2">
      <c r="B59" s="8"/>
      <c r="C59" s="30"/>
      <c r="D59" s="30"/>
      <c r="E59" s="30"/>
      <c r="F59" s="30"/>
      <c r="G59" s="30"/>
    </row>
    <row r="60" spans="2:7" x14ac:dyDescent="0.2">
      <c r="B60" s="7"/>
      <c r="C60" s="93"/>
      <c r="D60" s="93"/>
      <c r="E60" s="93"/>
      <c r="F60" s="93"/>
      <c r="G60" s="93"/>
    </row>
    <row r="61" spans="2:7" x14ac:dyDescent="0.2">
      <c r="B61" s="8"/>
      <c r="C61" s="30"/>
      <c r="D61" s="30"/>
      <c r="E61" s="30"/>
      <c r="F61" s="30"/>
      <c r="G61" s="30"/>
    </row>
    <row r="62" spans="2:7" x14ac:dyDescent="0.2">
      <c r="B62" s="7"/>
      <c r="C62" s="163"/>
      <c r="D62" s="164"/>
      <c r="E62" s="97"/>
      <c r="F62" s="97"/>
      <c r="G62" s="97"/>
    </row>
    <row r="63" spans="2:7" x14ac:dyDescent="0.2">
      <c r="B63" s="8"/>
      <c r="C63" s="30"/>
      <c r="D63" s="30"/>
      <c r="E63" s="30"/>
      <c r="F63" s="30"/>
      <c r="G63" s="30"/>
    </row>
    <row r="67" spans="5:5" x14ac:dyDescent="0.2">
      <c r="E67" s="5" t="s">
        <v>115</v>
      </c>
    </row>
  </sheetData>
  <mergeCells count="2">
    <mergeCell ref="B2:G2"/>
    <mergeCell ref="B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F0A7-6C3E-5B41-B94B-78E46A3C64F1}">
  <dimension ref="B2:M75"/>
  <sheetViews>
    <sheetView showGridLines="0" zoomScale="115" zoomScaleNormal="100" workbookViewId="0">
      <pane ySplit="4" topLeftCell="A43" activePane="bottomLeft" state="frozenSplit"/>
      <selection pane="bottomLeft" activeCell="J50" sqref="J50"/>
    </sheetView>
  </sheetViews>
  <sheetFormatPr baseColWidth="10" defaultColWidth="10.83203125" defaultRowHeight="15" x14ac:dyDescent="0.2"/>
  <cols>
    <col min="1" max="1" width="5.5" style="5" customWidth="1"/>
    <col min="2" max="2" width="39.1640625" style="5" customWidth="1"/>
    <col min="3" max="3" width="4.5" style="18" customWidth="1"/>
    <col min="4" max="8" width="22.33203125" style="5" customWidth="1"/>
    <col min="9" max="12" width="10.83203125" style="5"/>
    <col min="13" max="13" width="10.83203125" style="5" customWidth="1"/>
    <col min="14" max="16384" width="10.83203125" style="5"/>
  </cols>
  <sheetData>
    <row r="2" spans="2:10" ht="16" customHeight="1" x14ac:dyDescent="0.2">
      <c r="B2" s="207" t="s">
        <v>14</v>
      </c>
      <c r="C2" s="207"/>
      <c r="D2" s="207"/>
      <c r="E2" s="207"/>
      <c r="F2" s="207"/>
      <c r="G2" s="207"/>
      <c r="H2" s="207"/>
    </row>
    <row r="3" spans="2:10" x14ac:dyDescent="0.2">
      <c r="B3" s="1"/>
      <c r="C3" s="2"/>
      <c r="D3" s="23">
        <v>2027</v>
      </c>
      <c r="E3" s="23">
        <v>2028</v>
      </c>
      <c r="F3" s="23">
        <v>2029</v>
      </c>
      <c r="G3" s="23">
        <v>2030</v>
      </c>
      <c r="H3" s="23">
        <v>2031</v>
      </c>
    </row>
    <row r="4" spans="2:10" x14ac:dyDescent="0.2">
      <c r="B4" s="14" t="s">
        <v>0</v>
      </c>
      <c r="C4" s="16" t="s">
        <v>11</v>
      </c>
      <c r="D4" s="15" t="s">
        <v>19</v>
      </c>
      <c r="E4" s="15" t="s">
        <v>20</v>
      </c>
      <c r="F4" s="15" t="s">
        <v>21</v>
      </c>
      <c r="G4" s="15" t="s">
        <v>22</v>
      </c>
      <c r="H4" s="15" t="s">
        <v>23</v>
      </c>
      <c r="J4" s="5" t="s">
        <v>40</v>
      </c>
    </row>
    <row r="5" spans="2:10" x14ac:dyDescent="0.2">
      <c r="B5" s="8" t="s">
        <v>145</v>
      </c>
    </row>
    <row r="6" spans="2:10" x14ac:dyDescent="0.2">
      <c r="B6" s="7" t="s">
        <v>146</v>
      </c>
      <c r="C6" s="18" t="s">
        <v>10</v>
      </c>
      <c r="D6" s="118">
        <v>49187</v>
      </c>
      <c r="E6" s="118">
        <f>INT(D6*1.02)</f>
        <v>50170</v>
      </c>
      <c r="F6" s="118">
        <f t="shared" ref="F6:H6" si="0">INT(E6*1.02)</f>
        <v>51173</v>
      </c>
      <c r="G6" s="118">
        <f t="shared" si="0"/>
        <v>52196</v>
      </c>
      <c r="H6" s="118">
        <f t="shared" si="0"/>
        <v>53239</v>
      </c>
      <c r="J6" s="28" t="s">
        <v>359</v>
      </c>
    </row>
    <row r="7" spans="2:10" x14ac:dyDescent="0.2">
      <c r="B7" s="7" t="s">
        <v>141</v>
      </c>
      <c r="C7" s="18" t="s">
        <v>12</v>
      </c>
      <c r="D7" s="26">
        <v>7.2979999999999998E-3</v>
      </c>
      <c r="E7" s="26">
        <v>0.02</v>
      </c>
      <c r="F7" s="26">
        <v>0.05</v>
      </c>
      <c r="G7" s="26">
        <v>0.08</v>
      </c>
      <c r="H7" s="26">
        <v>0.12</v>
      </c>
    </row>
    <row r="8" spans="2:10" x14ac:dyDescent="0.2">
      <c r="B8" s="85" t="s">
        <v>144</v>
      </c>
      <c r="C8" s="86" t="s">
        <v>10</v>
      </c>
      <c r="D8" s="122">
        <f>INT(D6*D7)</f>
        <v>358</v>
      </c>
      <c r="E8" s="122">
        <f>INT(E6*E7)</f>
        <v>1003</v>
      </c>
      <c r="F8" s="122">
        <f>INT(F6*F7)</f>
        <v>2558</v>
      </c>
      <c r="G8" s="122">
        <f>INT(G6*G7)</f>
        <v>4175</v>
      </c>
      <c r="H8" s="122">
        <f>INT(H6*H7)</f>
        <v>6388</v>
      </c>
    </row>
    <row r="9" spans="2:10" x14ac:dyDescent="0.2">
      <c r="B9" s="85" t="s">
        <v>147</v>
      </c>
      <c r="C9" s="86" t="s">
        <v>10</v>
      </c>
      <c r="D9" s="122">
        <f>D8</f>
        <v>358</v>
      </c>
      <c r="E9" s="122">
        <f>E8-D8</f>
        <v>645</v>
      </c>
      <c r="F9" s="122">
        <f t="shared" ref="F9:H9" si="1">F8-E8</f>
        <v>1555</v>
      </c>
      <c r="G9" s="122">
        <f t="shared" si="1"/>
        <v>1617</v>
      </c>
      <c r="H9" s="122">
        <f t="shared" si="1"/>
        <v>2213</v>
      </c>
    </row>
    <row r="10" spans="2:10" x14ac:dyDescent="0.2">
      <c r="B10" s="7" t="s">
        <v>42</v>
      </c>
      <c r="C10" s="18" t="s">
        <v>12</v>
      </c>
      <c r="D10" s="31">
        <v>0</v>
      </c>
      <c r="E10" s="32">
        <v>0</v>
      </c>
      <c r="F10" s="25">
        <v>0.05</v>
      </c>
      <c r="G10" s="25">
        <v>0.05</v>
      </c>
      <c r="H10" s="25">
        <v>0.05</v>
      </c>
    </row>
    <row r="11" spans="2:10" x14ac:dyDescent="0.2">
      <c r="B11" s="85" t="s">
        <v>148</v>
      </c>
      <c r="C11" s="86" t="s">
        <v>10</v>
      </c>
      <c r="D11" s="126">
        <f>INT(D8)</f>
        <v>358</v>
      </c>
      <c r="E11" s="126">
        <f>INT(E8)</f>
        <v>1003</v>
      </c>
      <c r="F11" s="117">
        <f>INT(F9+E11*(1-F10))</f>
        <v>2507</v>
      </c>
      <c r="G11" s="117">
        <f>INT(G9+F11*(1-G10))</f>
        <v>3998</v>
      </c>
      <c r="H11" s="117">
        <f>INT(H9+G11*(1-H10))</f>
        <v>6011</v>
      </c>
    </row>
    <row r="12" spans="2:10" x14ac:dyDescent="0.2">
      <c r="B12" s="143" t="s">
        <v>67</v>
      </c>
      <c r="C12" s="144" t="s">
        <v>10</v>
      </c>
      <c r="D12" s="115">
        <f>INT(D11/D13)</f>
        <v>7</v>
      </c>
      <c r="E12" s="115">
        <f t="shared" ref="E12:H12" si="2">INT(E11/E13)</f>
        <v>20</v>
      </c>
      <c r="F12" s="115">
        <f t="shared" si="2"/>
        <v>51</v>
      </c>
      <c r="G12" s="115">
        <f t="shared" si="2"/>
        <v>81</v>
      </c>
      <c r="H12" s="115">
        <f t="shared" si="2"/>
        <v>122</v>
      </c>
    </row>
    <row r="13" spans="2:10" x14ac:dyDescent="0.2">
      <c r="B13" s="143" t="s">
        <v>333</v>
      </c>
      <c r="C13" s="144" t="s">
        <v>10</v>
      </c>
      <c r="D13" s="115">
        <v>49</v>
      </c>
      <c r="E13" s="115">
        <v>49</v>
      </c>
      <c r="F13" s="115">
        <v>49</v>
      </c>
      <c r="G13" s="115">
        <v>49</v>
      </c>
      <c r="H13" s="115">
        <v>49</v>
      </c>
    </row>
    <row r="14" spans="2:10" x14ac:dyDescent="0.2">
      <c r="B14" s="7"/>
      <c r="D14" s="3"/>
      <c r="E14" s="3"/>
      <c r="F14" s="3"/>
      <c r="G14" s="3"/>
      <c r="H14" s="3"/>
    </row>
    <row r="15" spans="2:10" x14ac:dyDescent="0.2">
      <c r="B15" s="33" t="s">
        <v>2</v>
      </c>
      <c r="C15" s="34"/>
      <c r="D15" s="35"/>
      <c r="E15" s="35"/>
      <c r="F15" s="35"/>
      <c r="G15" s="35"/>
      <c r="H15" s="35"/>
    </row>
    <row r="16" spans="2:10" x14ac:dyDescent="0.2">
      <c r="B16" s="48" t="s">
        <v>160</v>
      </c>
      <c r="D16" s="29"/>
      <c r="E16" s="29"/>
      <c r="F16" s="29"/>
      <c r="G16" s="29"/>
      <c r="H16" s="29"/>
    </row>
    <row r="17" spans="2:10" x14ac:dyDescent="0.2">
      <c r="B17" s="7" t="s">
        <v>158</v>
      </c>
      <c r="C17" s="18" t="s">
        <v>10</v>
      </c>
      <c r="D17" s="116">
        <f>D9</f>
        <v>358</v>
      </c>
      <c r="E17" s="116">
        <f t="shared" ref="E17:H17" si="3">E9</f>
        <v>645</v>
      </c>
      <c r="F17" s="116">
        <f t="shared" si="3"/>
        <v>1555</v>
      </c>
      <c r="G17" s="116">
        <f t="shared" si="3"/>
        <v>1617</v>
      </c>
      <c r="H17" s="116">
        <f t="shared" si="3"/>
        <v>2213</v>
      </c>
    </row>
    <row r="18" spans="2:10" x14ac:dyDescent="0.2">
      <c r="B18" s="7" t="s">
        <v>157</v>
      </c>
      <c r="C18" s="18" t="s">
        <v>13</v>
      </c>
      <c r="D18" s="29">
        <f>D9*99</f>
        <v>35442</v>
      </c>
      <c r="E18" s="29">
        <f t="shared" ref="E18:H18" si="4">E9*99</f>
        <v>63855</v>
      </c>
      <c r="F18" s="29">
        <f t="shared" si="4"/>
        <v>153945</v>
      </c>
      <c r="G18" s="29">
        <f t="shared" si="4"/>
        <v>160083</v>
      </c>
      <c r="H18" s="29">
        <f t="shared" si="4"/>
        <v>219087</v>
      </c>
    </row>
    <row r="19" spans="2:10" x14ac:dyDescent="0.2">
      <c r="B19" s="48" t="s">
        <v>161</v>
      </c>
      <c r="D19" s="29"/>
      <c r="E19" s="29"/>
      <c r="F19" s="29"/>
      <c r="G19" s="29"/>
      <c r="H19" s="29"/>
    </row>
    <row r="20" spans="2:10" x14ac:dyDescent="0.2">
      <c r="B20" s="7" t="s">
        <v>159</v>
      </c>
      <c r="C20" s="18" t="s">
        <v>10</v>
      </c>
      <c r="D20" s="116">
        <f>D9/10</f>
        <v>35.799999999999997</v>
      </c>
      <c r="E20" s="116">
        <f>E9/10</f>
        <v>64.5</v>
      </c>
      <c r="F20" s="116">
        <f>F9/10</f>
        <v>155.5</v>
      </c>
      <c r="G20" s="116">
        <f>G9/10</f>
        <v>161.69999999999999</v>
      </c>
      <c r="H20" s="116">
        <f>H9/10</f>
        <v>221.3</v>
      </c>
    </row>
    <row r="21" spans="2:10" x14ac:dyDescent="0.2">
      <c r="B21" s="7" t="s">
        <v>149</v>
      </c>
      <c r="C21" s="18" t="s">
        <v>13</v>
      </c>
      <c r="D21" s="29">
        <f>D9/10*325</f>
        <v>11634.999999999998</v>
      </c>
      <c r="E21" s="29">
        <f>E9/10*325</f>
        <v>20962.5</v>
      </c>
      <c r="F21" s="29">
        <f>F9/10*325</f>
        <v>50537.5</v>
      </c>
      <c r="G21" s="29">
        <f>G9/10*325</f>
        <v>52552.499999999993</v>
      </c>
      <c r="H21" s="29">
        <f>H9/10*325</f>
        <v>71922.5</v>
      </c>
    </row>
    <row r="22" spans="2:10" x14ac:dyDescent="0.2">
      <c r="B22" s="85" t="s">
        <v>150</v>
      </c>
      <c r="C22" s="18" t="s">
        <v>13</v>
      </c>
      <c r="D22" s="127">
        <f>D18+D21</f>
        <v>47077</v>
      </c>
      <c r="E22" s="127">
        <f t="shared" ref="E22:H22" si="5">E18+E21</f>
        <v>84817.5</v>
      </c>
      <c r="F22" s="127">
        <f t="shared" si="5"/>
        <v>204482.5</v>
      </c>
      <c r="G22" s="127">
        <f t="shared" si="5"/>
        <v>212635.5</v>
      </c>
      <c r="H22" s="127">
        <f t="shared" si="5"/>
        <v>291009.5</v>
      </c>
      <c r="J22" s="28" t="s">
        <v>508</v>
      </c>
    </row>
    <row r="23" spans="2:10" x14ac:dyDescent="0.2">
      <c r="B23" s="128" t="s">
        <v>151</v>
      </c>
      <c r="D23" s="29"/>
      <c r="E23" s="29"/>
      <c r="F23" s="29"/>
      <c r="G23" s="29"/>
      <c r="H23" s="29"/>
      <c r="J23" s="28"/>
    </row>
    <row r="24" spans="2:10" x14ac:dyDescent="0.2">
      <c r="B24" s="7" t="s">
        <v>162</v>
      </c>
      <c r="C24" s="18" t="s">
        <v>10</v>
      </c>
      <c r="D24" s="116">
        <f>D11</f>
        <v>358</v>
      </c>
      <c r="E24" s="116">
        <f t="shared" ref="E24:H24" si="6">E11</f>
        <v>1003</v>
      </c>
      <c r="F24" s="116">
        <f t="shared" si="6"/>
        <v>2507</v>
      </c>
      <c r="G24" s="116">
        <f t="shared" si="6"/>
        <v>3998</v>
      </c>
      <c r="H24" s="116">
        <f t="shared" si="6"/>
        <v>6011</v>
      </c>
      <c r="J24" s="28"/>
    </row>
    <row r="25" spans="2:10" x14ac:dyDescent="0.2">
      <c r="B25" s="129" t="s">
        <v>163</v>
      </c>
      <c r="C25" s="130" t="s">
        <v>13</v>
      </c>
      <c r="D25" s="131">
        <f>'4-Monthly Service Revenue'!G20</f>
        <v>100061</v>
      </c>
      <c r="E25" s="131">
        <f>'4-Monthly Service Revenue'!G36</f>
        <v>365005.5</v>
      </c>
      <c r="F25" s="131">
        <f>'4-Monthly Service Revenue'!G52</f>
        <v>938043.7365599887</v>
      </c>
      <c r="G25" s="131">
        <f>'4-Monthly Service Revenue'!G68</f>
        <v>1710680.2618215033</v>
      </c>
      <c r="H25" s="131">
        <f>'4-Monthly Service Revenue'!G84</f>
        <v>2625923.1712055053</v>
      </c>
    </row>
    <row r="26" spans="2:10" x14ac:dyDescent="0.2">
      <c r="B26" s="82" t="s">
        <v>41</v>
      </c>
      <c r="C26" s="83" t="s">
        <v>13</v>
      </c>
      <c r="D26" s="84">
        <f>D22+D25</f>
        <v>147138</v>
      </c>
      <c r="E26" s="84">
        <f t="shared" ref="E26:H26" si="7">E22+E25</f>
        <v>449823</v>
      </c>
      <c r="F26" s="84">
        <f t="shared" si="7"/>
        <v>1142526.2365599887</v>
      </c>
      <c r="G26" s="84">
        <f t="shared" si="7"/>
        <v>1923315.7618215033</v>
      </c>
      <c r="H26" s="84">
        <f t="shared" si="7"/>
        <v>2916932.6712055053</v>
      </c>
    </row>
    <row r="27" spans="2:10" x14ac:dyDescent="0.2">
      <c r="B27" s="8"/>
      <c r="C27" s="19"/>
      <c r="D27" s="30"/>
      <c r="E27" s="30"/>
      <c r="F27" s="30"/>
      <c r="G27" s="30"/>
      <c r="H27" s="30"/>
    </row>
    <row r="28" spans="2:10" x14ac:dyDescent="0.2">
      <c r="B28" s="6" t="s">
        <v>89</v>
      </c>
      <c r="C28" s="17"/>
      <c r="D28" s="6"/>
      <c r="E28" s="6"/>
      <c r="F28" s="6"/>
      <c r="G28" s="6"/>
      <c r="H28" s="6"/>
    </row>
    <row r="29" spans="2:10" x14ac:dyDescent="0.2">
      <c r="B29" s="8" t="s">
        <v>3</v>
      </c>
      <c r="C29" s="19"/>
      <c r="D29" s="8"/>
      <c r="E29" s="8"/>
      <c r="F29" s="8"/>
      <c r="G29" s="8"/>
      <c r="H29" s="8"/>
    </row>
    <row r="30" spans="2:10" x14ac:dyDescent="0.2">
      <c r="B30" s="7" t="s">
        <v>153</v>
      </c>
      <c r="C30" s="18" t="s">
        <v>13</v>
      </c>
      <c r="D30" s="145">
        <f>D9*43</f>
        <v>15394</v>
      </c>
      <c r="E30" s="145">
        <f t="shared" ref="E30:E34" si="8">D30*103%</f>
        <v>15855.82</v>
      </c>
      <c r="F30" s="145">
        <f t="shared" ref="F30:F31" si="9">E30*103%</f>
        <v>16331.4946</v>
      </c>
      <c r="G30" s="145">
        <f t="shared" ref="G30:G31" si="10">F30*103%</f>
        <v>16821.439438000001</v>
      </c>
      <c r="H30" s="145">
        <f t="shared" ref="H30:H31" si="11">G30*103%</f>
        <v>17326.082621140002</v>
      </c>
    </row>
    <row r="31" spans="2:10" x14ac:dyDescent="0.2">
      <c r="B31" s="7" t="s">
        <v>154</v>
      </c>
      <c r="C31" s="18" t="s">
        <v>13</v>
      </c>
      <c r="D31" s="145">
        <f>D9/10*102</f>
        <v>3651.6</v>
      </c>
      <c r="E31" s="145">
        <f t="shared" si="8"/>
        <v>3761.1480000000001</v>
      </c>
      <c r="F31" s="145">
        <f t="shared" si="9"/>
        <v>3873.9824400000002</v>
      </c>
      <c r="G31" s="145">
        <f t="shared" si="10"/>
        <v>3990.2019132000005</v>
      </c>
      <c r="H31" s="145">
        <f t="shared" si="11"/>
        <v>4109.9079705960003</v>
      </c>
    </row>
    <row r="32" spans="2:10" x14ac:dyDescent="0.2">
      <c r="B32" s="85" t="s">
        <v>152</v>
      </c>
      <c r="C32" s="86" t="s">
        <v>13</v>
      </c>
      <c r="D32" s="146">
        <f>SUM(D30:D31)</f>
        <v>19045.599999999999</v>
      </c>
      <c r="E32" s="146">
        <f t="shared" si="8"/>
        <v>19616.968000000001</v>
      </c>
      <c r="F32" s="146">
        <f t="shared" ref="F32:H32" si="12">E32*103%</f>
        <v>20205.477040000002</v>
      </c>
      <c r="G32" s="146">
        <f t="shared" si="12"/>
        <v>20811.641351200004</v>
      </c>
      <c r="H32" s="146">
        <f t="shared" si="12"/>
        <v>21435.990591736005</v>
      </c>
      <c r="J32" s="5" t="s">
        <v>507</v>
      </c>
    </row>
    <row r="33" spans="2:10" x14ac:dyDescent="0.2">
      <c r="B33" s="7" t="s">
        <v>156</v>
      </c>
      <c r="C33" s="18" t="s">
        <v>13</v>
      </c>
      <c r="D33" s="145">
        <f>125*2/50</f>
        <v>5</v>
      </c>
      <c r="E33" s="145">
        <f t="shared" si="8"/>
        <v>5.15</v>
      </c>
      <c r="F33" s="145">
        <f t="shared" ref="F33:H33" si="13">E33*103%</f>
        <v>5.3045000000000009</v>
      </c>
      <c r="G33" s="145">
        <f t="shared" si="13"/>
        <v>5.4636350000000009</v>
      </c>
      <c r="H33" s="145">
        <f t="shared" si="13"/>
        <v>5.6275440500000009</v>
      </c>
      <c r="J33" s="5" t="s">
        <v>155</v>
      </c>
    </row>
    <row r="34" spans="2:10" x14ac:dyDescent="0.2">
      <c r="B34" s="7" t="s">
        <v>134</v>
      </c>
      <c r="C34" s="18" t="s">
        <v>13</v>
      </c>
      <c r="D34" s="145">
        <f>D22*5%</f>
        <v>2353.85</v>
      </c>
      <c r="E34" s="145">
        <f t="shared" si="8"/>
        <v>2424.4654999999998</v>
      </c>
      <c r="F34" s="145">
        <f t="shared" ref="F34:H34" si="14">E34*103%</f>
        <v>2497.1994649999997</v>
      </c>
      <c r="G34" s="145">
        <f t="shared" si="14"/>
        <v>2572.11544895</v>
      </c>
      <c r="H34" s="145">
        <f t="shared" si="14"/>
        <v>2649.2789124185001</v>
      </c>
      <c r="J34" s="5" t="s">
        <v>85</v>
      </c>
    </row>
    <row r="35" spans="2:10" x14ac:dyDescent="0.2">
      <c r="B35" s="7" t="s">
        <v>510</v>
      </c>
      <c r="C35" s="18" t="s">
        <v>13</v>
      </c>
      <c r="D35" s="145">
        <f>'11-Infrastructure'!F2</f>
        <v>2.011173184357542</v>
      </c>
      <c r="E35" s="145">
        <f>'11-Infrastructure'!F3</f>
        <v>2.093718843469591</v>
      </c>
      <c r="F35" s="145">
        <f>'11-Infrastructure'!F4</f>
        <v>1.9146390107698443</v>
      </c>
      <c r="G35" s="145">
        <f>'11-Infrastructure'!F5</f>
        <v>1.9509754877438719</v>
      </c>
      <c r="H35" s="145">
        <f>'11-Infrastructure'!F6</f>
        <v>2.4954250540675429</v>
      </c>
      <c r="J35" s="5" t="s">
        <v>511</v>
      </c>
    </row>
    <row r="36" spans="2:10" x14ac:dyDescent="0.2">
      <c r="B36" s="8" t="s">
        <v>4</v>
      </c>
      <c r="C36" s="19"/>
    </row>
    <row r="37" spans="2:10" x14ac:dyDescent="0.2">
      <c r="B37" s="7" t="s">
        <v>97</v>
      </c>
      <c r="C37" s="18" t="s">
        <v>13</v>
      </c>
      <c r="D37" s="98">
        <v>60000</v>
      </c>
      <c r="E37" s="99">
        <f>2%*E26</f>
        <v>8996.4600000000009</v>
      </c>
      <c r="F37" s="99">
        <f t="shared" ref="F37:H37" si="15">2%*F26</f>
        <v>22850.524731199774</v>
      </c>
      <c r="G37" s="99">
        <f t="shared" si="15"/>
        <v>38466.315236430069</v>
      </c>
      <c r="H37" s="99">
        <f t="shared" si="15"/>
        <v>58338.653424110104</v>
      </c>
      <c r="J37" s="5" t="s">
        <v>98</v>
      </c>
    </row>
    <row r="38" spans="2:10" x14ac:dyDescent="0.2">
      <c r="B38" s="7" t="s">
        <v>68</v>
      </c>
      <c r="C38" s="18" t="s">
        <v>13</v>
      </c>
      <c r="D38" s="98">
        <v>6500</v>
      </c>
      <c r="E38" s="98">
        <v>1500</v>
      </c>
      <c r="F38" s="98">
        <v>1500</v>
      </c>
      <c r="G38" s="98">
        <v>1500</v>
      </c>
      <c r="H38" s="98">
        <v>1500</v>
      </c>
      <c r="J38" s="5" t="s">
        <v>574</v>
      </c>
    </row>
    <row r="39" spans="2:10" x14ac:dyDescent="0.2">
      <c r="B39" s="7" t="s">
        <v>79</v>
      </c>
      <c r="C39" s="18" t="s">
        <v>13</v>
      </c>
      <c r="D39" s="98">
        <f>'5-Human Resource'!E30</f>
        <v>154707.70000000001</v>
      </c>
      <c r="E39" s="98">
        <f>'5-Human Resource'!F30</f>
        <v>298281.75</v>
      </c>
      <c r="F39" s="98">
        <f>'5-Human Resource'!G30</f>
        <v>410928.25</v>
      </c>
      <c r="G39" s="98">
        <f>'5-Human Resource'!H30</f>
        <v>569683.05000000005</v>
      </c>
      <c r="H39" s="98">
        <f>'5-Human Resource'!I30</f>
        <v>665170.17499999993</v>
      </c>
      <c r="J39" s="5" t="s">
        <v>78</v>
      </c>
    </row>
    <row r="40" spans="2:10" x14ac:dyDescent="0.2">
      <c r="B40" s="7" t="s">
        <v>81</v>
      </c>
      <c r="C40" s="18" t="s">
        <v>13</v>
      </c>
      <c r="D40" s="98">
        <f>250*'5-Human Resource'!E16*12</f>
        <v>15000</v>
      </c>
      <c r="E40" s="98">
        <f>250*'5-Human Resource'!F16*12</f>
        <v>30000</v>
      </c>
      <c r="F40" s="98">
        <f>250*'5-Human Resource'!G16*12</f>
        <v>39000</v>
      </c>
      <c r="G40" s="98">
        <f>250*'5-Human Resource'!H16*12</f>
        <v>51000</v>
      </c>
      <c r="H40" s="98">
        <f>250*'5-Human Resource'!I16*12</f>
        <v>60000</v>
      </c>
      <c r="J40" s="5" t="s">
        <v>82</v>
      </c>
    </row>
    <row r="41" spans="2:10" x14ac:dyDescent="0.2">
      <c r="B41" s="7" t="s">
        <v>109</v>
      </c>
      <c r="C41" s="18" t="s">
        <v>13</v>
      </c>
      <c r="D41" s="98">
        <f>1500*'5-Human Resource'!E16+5000</f>
        <v>12500</v>
      </c>
      <c r="E41" s="98">
        <f>1500*('5-Human Resource'!F16-'5-Human Resource'!E16)+5000</f>
        <v>12500</v>
      </c>
      <c r="F41" s="98">
        <f>1500*('5-Human Resource'!G16-'5-Human Resource'!F16)+5000</f>
        <v>9500</v>
      </c>
      <c r="G41" s="98">
        <f>1500*('5-Human Resource'!H16-'5-Human Resource'!G16)+5000</f>
        <v>11000</v>
      </c>
      <c r="H41" s="98">
        <f>1500*('5-Human Resource'!I16-'5-Human Resource'!H16)+5000</f>
        <v>9500</v>
      </c>
      <c r="J41" s="5" t="s">
        <v>83</v>
      </c>
    </row>
    <row r="42" spans="2:10" x14ac:dyDescent="0.2">
      <c r="B42" s="7" t="s">
        <v>84</v>
      </c>
      <c r="C42" s="18" t="s">
        <v>13</v>
      </c>
      <c r="D42" s="98">
        <v>8000</v>
      </c>
      <c r="E42" s="98">
        <f>D42*105%</f>
        <v>8400</v>
      </c>
      <c r="F42" s="98">
        <f>E42*105%</f>
        <v>8820</v>
      </c>
      <c r="G42" s="98">
        <f>F42*105%</f>
        <v>9261</v>
      </c>
      <c r="H42" s="98">
        <f>G42*105%</f>
        <v>9724.0500000000011</v>
      </c>
      <c r="J42" s="5" t="s">
        <v>334</v>
      </c>
    </row>
    <row r="43" spans="2:10" x14ac:dyDescent="0.2">
      <c r="B43" s="7" t="s">
        <v>101</v>
      </c>
      <c r="C43" s="18" t="s">
        <v>13</v>
      </c>
      <c r="D43" s="98">
        <v>5000</v>
      </c>
      <c r="E43" s="98">
        <f>D43*105%</f>
        <v>5250</v>
      </c>
      <c r="F43" s="98">
        <f t="shared" ref="F43:H43" si="16">E43*105%</f>
        <v>5512.5</v>
      </c>
      <c r="G43" s="98">
        <f t="shared" si="16"/>
        <v>5788.125</v>
      </c>
      <c r="H43" s="98">
        <f t="shared" si="16"/>
        <v>6077.53125</v>
      </c>
      <c r="J43" s="5" t="s">
        <v>102</v>
      </c>
    </row>
    <row r="44" spans="2:10" x14ac:dyDescent="0.2">
      <c r="B44" s="8"/>
      <c r="C44" s="19"/>
      <c r="D44" s="10"/>
      <c r="E44" s="10"/>
      <c r="F44" s="10"/>
      <c r="G44" s="10"/>
      <c r="H44" s="10"/>
    </row>
    <row r="45" spans="2:10" x14ac:dyDescent="0.2">
      <c r="B45" s="5" t="s">
        <v>9</v>
      </c>
      <c r="C45" s="18" t="s">
        <v>12</v>
      </c>
      <c r="D45" s="11">
        <v>0.2</v>
      </c>
      <c r="E45" s="11">
        <v>0.2</v>
      </c>
      <c r="F45" s="11">
        <v>0.2</v>
      </c>
      <c r="G45" s="11">
        <v>0.2</v>
      </c>
      <c r="H45" s="11">
        <v>0.2</v>
      </c>
    </row>
    <row r="47" spans="2:10" x14ac:dyDescent="0.2">
      <c r="B47" s="1" t="s">
        <v>86</v>
      </c>
      <c r="C47" s="2"/>
      <c r="D47" s="1"/>
      <c r="E47" s="1"/>
      <c r="F47" s="1"/>
      <c r="G47" s="1"/>
      <c r="H47" s="1"/>
    </row>
    <row r="48" spans="2:10" x14ac:dyDescent="0.2">
      <c r="B48" s="8" t="s">
        <v>6</v>
      </c>
      <c r="C48" s="19" t="s">
        <v>13</v>
      </c>
      <c r="D48" s="95">
        <f>D26</f>
        <v>147138</v>
      </c>
      <c r="E48" s="95">
        <f t="shared" ref="E48:H48" si="17">E26</f>
        <v>449823</v>
      </c>
      <c r="F48" s="95">
        <f t="shared" si="17"/>
        <v>1142526.2365599887</v>
      </c>
      <c r="G48" s="95">
        <f t="shared" si="17"/>
        <v>1923315.7618215033</v>
      </c>
      <c r="H48" s="95">
        <f t="shared" si="17"/>
        <v>2916932.6712055053</v>
      </c>
    </row>
    <row r="49" spans="2:13" x14ac:dyDescent="0.2">
      <c r="B49" s="5" t="s">
        <v>1</v>
      </c>
      <c r="C49" s="18" t="s">
        <v>13</v>
      </c>
      <c r="D49" s="79">
        <f>(D32)+(D33*D9)+(D34)+(D35*D11)+'5-Human Resource'!E29+'5-Human Resource'!E22</f>
        <v>35909.449999999997</v>
      </c>
      <c r="E49" s="79">
        <f>(E32)+(E33*E9)+(E34)+(E35*E11)+'5-Human Resource'!F29+'5-Human Resource'!F22</f>
        <v>81463.183499999999</v>
      </c>
      <c r="F49" s="79">
        <f>(F32)+(F33*F9)+(F34)+(F35*F11)+'5-Human Resource'!G29+'5-Human Resource'!G22</f>
        <v>122751.17400500001</v>
      </c>
      <c r="G49" s="79">
        <f>(G32)+(G33*G9)+(G34)+(G35*G11)+'5-Human Resource'!H29+'5-Human Resource'!H22</f>
        <v>175243.45459515002</v>
      </c>
      <c r="H49" s="79">
        <f>(H32)+(H33*H9)+(H34)+(H35*H11)+'5-Human Resource'!I29+'5-Human Resource'!I22</f>
        <v>238454.0244868045</v>
      </c>
    </row>
    <row r="50" spans="2:13" x14ac:dyDescent="0.2">
      <c r="B50" s="9" t="s">
        <v>7</v>
      </c>
      <c r="C50" s="20" t="s">
        <v>13</v>
      </c>
      <c r="D50" s="80">
        <f>D48-D49</f>
        <v>111228.55</v>
      </c>
      <c r="E50" s="80">
        <f t="shared" ref="E50:H50" si="18">E48-E49</f>
        <v>368359.81650000002</v>
      </c>
      <c r="F50" s="80">
        <f t="shared" si="18"/>
        <v>1019775.0625549887</v>
      </c>
      <c r="G50" s="80">
        <f t="shared" si="18"/>
        <v>1748072.3072263533</v>
      </c>
      <c r="H50" s="80">
        <f t="shared" si="18"/>
        <v>2678478.6467187009</v>
      </c>
      <c r="I50" s="79"/>
      <c r="J50" s="79"/>
      <c r="K50" s="79"/>
      <c r="L50" s="79"/>
      <c r="M50" s="79"/>
    </row>
    <row r="51" spans="2:13" x14ac:dyDescent="0.2">
      <c r="B51" s="12" t="s">
        <v>8</v>
      </c>
      <c r="C51" s="18" t="s">
        <v>12</v>
      </c>
      <c r="D51" s="13">
        <f>D50/D48</f>
        <v>0.755947138060868</v>
      </c>
      <c r="E51" s="13">
        <f t="shared" ref="E51:H51" si="19">E50/E48</f>
        <v>0.8188994704583803</v>
      </c>
      <c r="F51" s="13">
        <f t="shared" si="19"/>
        <v>0.89256161471215811</v>
      </c>
      <c r="G51" s="13">
        <f t="shared" si="19"/>
        <v>0.90888471977727503</v>
      </c>
      <c r="H51" s="13">
        <f t="shared" si="19"/>
        <v>0.91825179002563107</v>
      </c>
    </row>
    <row r="53" spans="2:13" x14ac:dyDescent="0.2">
      <c r="B53" s="8" t="s">
        <v>87</v>
      </c>
      <c r="C53" s="19"/>
    </row>
    <row r="54" spans="2:13" x14ac:dyDescent="0.2">
      <c r="B54" s="81" t="s">
        <v>104</v>
      </c>
      <c r="C54" s="92" t="s">
        <v>13</v>
      </c>
      <c r="D54" s="4"/>
      <c r="E54" s="4"/>
      <c r="F54" s="4"/>
      <c r="G54" s="4"/>
      <c r="H54" s="4"/>
    </row>
    <row r="55" spans="2:13" x14ac:dyDescent="0.2">
      <c r="B55" s="7" t="s">
        <v>90</v>
      </c>
      <c r="C55" s="21" t="s">
        <v>13</v>
      </c>
      <c r="D55" s="93">
        <f>'5-Human Resource'!E19+'5-Human Resource'!E20+'5-Human Resource'!E21+'5-Human Resource'!E23</f>
        <v>120000</v>
      </c>
      <c r="E55" s="93">
        <f>'5-Human Resource'!F19+'5-Human Resource'!F20+'5-Human Resource'!F21+'5-Human Resource'!F23</f>
        <v>199800</v>
      </c>
      <c r="F55" s="93">
        <f>'5-Human Resource'!G19+'5-Human Resource'!G20+'5-Human Resource'!G21+'5-Human Resource'!G23</f>
        <v>249480</v>
      </c>
      <c r="G55" s="93">
        <f>'5-Human Resource'!H19+'5-Human Resource'!H20+'5-Human Resource'!H21+'5-Human Resource'!H23</f>
        <v>359194.5</v>
      </c>
      <c r="H55" s="93">
        <f>'5-Human Resource'!I19+'5-Human Resource'!I20+'5-Human Resource'!I21+'5-Human Resource'!I23</f>
        <v>377154.22499999998</v>
      </c>
    </row>
    <row r="56" spans="2:13" x14ac:dyDescent="0.2">
      <c r="B56" s="7" t="s">
        <v>99</v>
      </c>
      <c r="C56" s="18" t="s">
        <v>13</v>
      </c>
      <c r="D56" s="93">
        <f>D37</f>
        <v>60000</v>
      </c>
      <c r="E56" s="93">
        <f t="shared" ref="E56:H56" si="20">E37</f>
        <v>8996.4600000000009</v>
      </c>
      <c r="F56" s="93">
        <f t="shared" si="20"/>
        <v>22850.524731199774</v>
      </c>
      <c r="G56" s="93">
        <f t="shared" si="20"/>
        <v>38466.315236430069</v>
      </c>
      <c r="H56" s="93">
        <f t="shared" si="20"/>
        <v>58338.653424110104</v>
      </c>
    </row>
    <row r="57" spans="2:13" x14ac:dyDescent="0.2">
      <c r="B57" s="81" t="s">
        <v>105</v>
      </c>
      <c r="C57" s="19" t="s">
        <v>13</v>
      </c>
      <c r="D57" s="30"/>
      <c r="E57" s="30"/>
      <c r="F57" s="30"/>
      <c r="G57" s="30"/>
      <c r="H57" s="30"/>
    </row>
    <row r="58" spans="2:13" x14ac:dyDescent="0.2">
      <c r="B58" s="7" t="s">
        <v>108</v>
      </c>
      <c r="C58" s="18" t="s">
        <v>13</v>
      </c>
      <c r="D58" s="94">
        <f>'5-Human Resource'!E25</f>
        <v>18000</v>
      </c>
      <c r="E58" s="94">
        <f>'5-Human Resource'!F25</f>
        <v>36000</v>
      </c>
      <c r="F58" s="94">
        <f>'5-Human Resource'!G25</f>
        <v>54000</v>
      </c>
      <c r="G58" s="94">
        <f>'5-Human Resource'!H25</f>
        <v>54000</v>
      </c>
      <c r="H58" s="94">
        <f>'5-Human Resource'!I25</f>
        <v>72000</v>
      </c>
    </row>
    <row r="59" spans="2:13" x14ac:dyDescent="0.2">
      <c r="B59" s="7" t="s">
        <v>100</v>
      </c>
      <c r="C59" s="18" t="s">
        <v>13</v>
      </c>
      <c r="D59" s="93">
        <f>'5-Human Resource'!E26</f>
        <v>4707.7</v>
      </c>
      <c r="E59" s="93">
        <f>'5-Human Resource'!F26</f>
        <v>8481.75</v>
      </c>
      <c r="F59" s="93">
        <f>'5-Human Resource'!G26</f>
        <v>20448.25</v>
      </c>
      <c r="G59" s="93">
        <f>'5-Human Resource'!H26</f>
        <v>21263.550000000003</v>
      </c>
      <c r="H59" s="93">
        <f>'5-Human Resource'!I26</f>
        <v>29100.95</v>
      </c>
    </row>
    <row r="60" spans="2:13" x14ac:dyDescent="0.2">
      <c r="B60" s="7" t="s">
        <v>101</v>
      </c>
      <c r="C60" s="18" t="s">
        <v>13</v>
      </c>
      <c r="D60" s="93">
        <f>D43</f>
        <v>5000</v>
      </c>
      <c r="E60" s="93">
        <f t="shared" ref="E60:H60" si="21">E43</f>
        <v>5250</v>
      </c>
      <c r="F60" s="93">
        <f t="shared" si="21"/>
        <v>5512.5</v>
      </c>
      <c r="G60" s="93">
        <f t="shared" si="21"/>
        <v>5788.125</v>
      </c>
      <c r="H60" s="93">
        <f t="shared" si="21"/>
        <v>6077.53125</v>
      </c>
    </row>
    <row r="61" spans="2:13" x14ac:dyDescent="0.2">
      <c r="B61" s="81" t="s">
        <v>106</v>
      </c>
      <c r="C61" s="19" t="s">
        <v>13</v>
      </c>
      <c r="D61" s="93"/>
      <c r="E61" s="93"/>
      <c r="F61" s="93"/>
      <c r="G61" s="93"/>
      <c r="H61" s="93"/>
    </row>
    <row r="62" spans="2:13" x14ac:dyDescent="0.2">
      <c r="B62" s="7" t="s">
        <v>103</v>
      </c>
      <c r="C62" s="18" t="s">
        <v>13</v>
      </c>
      <c r="D62" s="93">
        <f>D42</f>
        <v>8000</v>
      </c>
      <c r="E62" s="93">
        <f t="shared" ref="E62:H62" si="22">E42</f>
        <v>8400</v>
      </c>
      <c r="F62" s="93">
        <f t="shared" si="22"/>
        <v>8820</v>
      </c>
      <c r="G62" s="93">
        <f t="shared" si="22"/>
        <v>9261</v>
      </c>
      <c r="H62" s="93">
        <f t="shared" si="22"/>
        <v>9724.0500000000011</v>
      </c>
    </row>
    <row r="63" spans="2:13" x14ac:dyDescent="0.2">
      <c r="B63" s="81" t="s">
        <v>107</v>
      </c>
      <c r="C63" s="19" t="s">
        <v>13</v>
      </c>
      <c r="D63" s="93"/>
      <c r="E63" s="93"/>
      <c r="F63" s="93"/>
      <c r="G63" s="93"/>
      <c r="H63" s="93"/>
    </row>
    <row r="64" spans="2:13" x14ac:dyDescent="0.2">
      <c r="B64" s="7" t="s">
        <v>81</v>
      </c>
      <c r="C64" s="18" t="s">
        <v>13</v>
      </c>
      <c r="D64" s="93">
        <f t="shared" ref="D64:H65" si="23">D40</f>
        <v>15000</v>
      </c>
      <c r="E64" s="93">
        <f t="shared" si="23"/>
        <v>30000</v>
      </c>
      <c r="F64" s="93">
        <f t="shared" si="23"/>
        <v>39000</v>
      </c>
      <c r="G64" s="93">
        <f t="shared" si="23"/>
        <v>51000</v>
      </c>
      <c r="H64" s="93">
        <f t="shared" si="23"/>
        <v>60000</v>
      </c>
    </row>
    <row r="65" spans="2:8" x14ac:dyDescent="0.2">
      <c r="B65" s="7" t="s">
        <v>109</v>
      </c>
      <c r="C65" s="18" t="s">
        <v>13</v>
      </c>
      <c r="D65" s="93">
        <f t="shared" si="23"/>
        <v>12500</v>
      </c>
      <c r="E65" s="93">
        <f t="shared" si="23"/>
        <v>12500</v>
      </c>
      <c r="F65" s="93">
        <f t="shared" si="23"/>
        <v>9500</v>
      </c>
      <c r="G65" s="93">
        <f t="shared" si="23"/>
        <v>11000</v>
      </c>
      <c r="H65" s="93">
        <f t="shared" si="23"/>
        <v>9500</v>
      </c>
    </row>
    <row r="66" spans="2:8" x14ac:dyDescent="0.2">
      <c r="B66" s="46" t="s">
        <v>110</v>
      </c>
      <c r="C66" s="77" t="s">
        <v>13</v>
      </c>
      <c r="D66" s="50">
        <f>SUM(D53:D65)</f>
        <v>243207.7</v>
      </c>
      <c r="E66" s="50">
        <f>SUM(E53:E65)</f>
        <v>309428.20999999996</v>
      </c>
      <c r="F66" s="50">
        <f>SUM(F53:F65)</f>
        <v>409611.27473119978</v>
      </c>
      <c r="G66" s="50">
        <f>SUM(G53:G65)</f>
        <v>549973.49023643008</v>
      </c>
      <c r="H66" s="50">
        <f>SUM(H53:H65)</f>
        <v>621895.40967411012</v>
      </c>
    </row>
    <row r="67" spans="2:8" x14ac:dyDescent="0.2">
      <c r="B67" s="96" t="s">
        <v>88</v>
      </c>
      <c r="C67" s="77" t="s">
        <v>13</v>
      </c>
      <c r="D67" s="50">
        <f>D50-D66</f>
        <v>-131979.15000000002</v>
      </c>
      <c r="E67" s="50">
        <f>E50-E66</f>
        <v>58931.606500000053</v>
      </c>
      <c r="F67" s="50">
        <f>F50-F66</f>
        <v>610163.78782378882</v>
      </c>
      <c r="G67" s="50">
        <f>G50-G66</f>
        <v>1198098.8169899234</v>
      </c>
      <c r="H67" s="50">
        <f>H50-H66</f>
        <v>2056583.2370445908</v>
      </c>
    </row>
    <row r="68" spans="2:8" x14ac:dyDescent="0.2">
      <c r="B68" s="7" t="s">
        <v>111</v>
      </c>
      <c r="D68" s="93">
        <f>$D$38/5</f>
        <v>1300</v>
      </c>
      <c r="E68" s="93">
        <f>SUM(D38:E38) / 5</f>
        <v>1600</v>
      </c>
      <c r="F68" s="93">
        <f>SUM(D38:F38) / 5</f>
        <v>1900</v>
      </c>
      <c r="G68" s="93">
        <f>SUM(D38:G38) / 5</f>
        <v>2200</v>
      </c>
      <c r="H68" s="93">
        <f>SUM(D38:H38) / 5</f>
        <v>2500</v>
      </c>
    </row>
    <row r="69" spans="2:8" x14ac:dyDescent="0.2">
      <c r="B69" s="96" t="s">
        <v>112</v>
      </c>
      <c r="C69" s="77" t="s">
        <v>13</v>
      </c>
      <c r="D69" s="50">
        <f>D67-D68</f>
        <v>-133279.15000000002</v>
      </c>
      <c r="E69" s="50">
        <f t="shared" ref="E69:H69" si="24">E67-E68</f>
        <v>57331.606500000053</v>
      </c>
      <c r="F69" s="50">
        <f t="shared" si="24"/>
        <v>608263.78782378882</v>
      </c>
      <c r="G69" s="50">
        <f t="shared" si="24"/>
        <v>1195898.8169899234</v>
      </c>
      <c r="H69" s="50">
        <f t="shared" si="24"/>
        <v>2054083.2370445908</v>
      </c>
    </row>
    <row r="70" spans="2:8" x14ac:dyDescent="0.2">
      <c r="B70" s="7" t="s">
        <v>113</v>
      </c>
      <c r="C70" s="18" t="s">
        <v>13</v>
      </c>
      <c r="D70" s="124">
        <v>0</v>
      </c>
      <c r="E70" s="125">
        <v>0</v>
      </c>
      <c r="F70" s="97">
        <f>F69*20%</f>
        <v>121652.75756475778</v>
      </c>
      <c r="G70" s="97">
        <f t="shared" ref="G70:H70" si="25">G69*20%</f>
        <v>239179.76339798467</v>
      </c>
      <c r="H70" s="97">
        <f t="shared" si="25"/>
        <v>410816.64740891819</v>
      </c>
    </row>
    <row r="71" spans="2:8" ht="16" thickBot="1" x14ac:dyDescent="0.25">
      <c r="B71" s="104" t="s">
        <v>114</v>
      </c>
      <c r="C71" s="105" t="s">
        <v>13</v>
      </c>
      <c r="D71" s="224">
        <f>D69-D70</f>
        <v>-133279.15000000002</v>
      </c>
      <c r="E71" s="224">
        <f>E69-E70</f>
        <v>57331.606500000053</v>
      </c>
      <c r="F71" s="224">
        <f t="shared" ref="F71:H71" si="26">F69-F70</f>
        <v>486611.03025903105</v>
      </c>
      <c r="G71" s="224">
        <f t="shared" si="26"/>
        <v>956719.05359193869</v>
      </c>
      <c r="H71" s="224">
        <f t="shared" si="26"/>
        <v>1643266.5896356725</v>
      </c>
    </row>
    <row r="75" spans="2:8" x14ac:dyDescent="0.2">
      <c r="F75" s="5" t="s">
        <v>115</v>
      </c>
    </row>
  </sheetData>
  <mergeCells count="1">
    <mergeCell ref="B2:H2"/>
  </mergeCells>
  <phoneticPr fontId="9" type="noConversion"/>
  <pageMargins left="0.7" right="0.7" top="0.75" bottom="0.75" header="0.3" footer="0.3"/>
  <ignoredErrors>
    <ignoredError sqref="F70:H7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C655E-5D57-D44F-BFA6-783B03766921}">
  <dimension ref="B2:L65"/>
  <sheetViews>
    <sheetView showGridLines="0" zoomScale="131" zoomScaleNormal="100" workbookViewId="0">
      <pane ySplit="5" topLeftCell="A6" activePane="bottomLeft" state="frozenSplit"/>
      <selection pane="bottomLeft" activeCell="D29" sqref="D29"/>
    </sheetView>
  </sheetViews>
  <sheetFormatPr baseColWidth="10" defaultColWidth="10.83203125" defaultRowHeight="15" x14ac:dyDescent="0.2"/>
  <cols>
    <col min="1" max="1" width="5.5" style="5" customWidth="1"/>
    <col min="2" max="2" width="39.1640625" style="5" customWidth="1"/>
    <col min="3" max="7" width="22.33203125" style="5" customWidth="1"/>
    <col min="8" max="8" width="10.83203125" style="5"/>
    <col min="9" max="9" width="22.5" style="5" customWidth="1"/>
    <col min="10" max="11" width="10.83203125" style="5"/>
    <col min="12" max="12" width="10.83203125" style="5" customWidth="1"/>
    <col min="13" max="16384" width="10.83203125" style="5"/>
  </cols>
  <sheetData>
    <row r="2" spans="2:12" ht="16" customHeight="1" x14ac:dyDescent="0.2">
      <c r="B2" s="207" t="s">
        <v>14</v>
      </c>
      <c r="C2" s="207"/>
      <c r="D2" s="207"/>
      <c r="E2" s="207"/>
      <c r="F2" s="207"/>
      <c r="G2" s="207"/>
    </row>
    <row r="3" spans="2:12" ht="16" customHeight="1" x14ac:dyDescent="0.2">
      <c r="B3" s="207" t="s">
        <v>572</v>
      </c>
      <c r="C3" s="207"/>
      <c r="D3" s="207"/>
      <c r="E3" s="207"/>
      <c r="F3" s="207"/>
      <c r="G3" s="207"/>
    </row>
    <row r="4" spans="2:12" x14ac:dyDescent="0.2">
      <c r="B4" s="1"/>
      <c r="C4" s="23">
        <v>2027</v>
      </c>
      <c r="D4" s="23">
        <v>2028</v>
      </c>
      <c r="E4" s="23">
        <v>2029</v>
      </c>
      <c r="F4" s="23">
        <v>2030</v>
      </c>
      <c r="G4" s="23">
        <v>2031</v>
      </c>
    </row>
    <row r="5" spans="2:12" x14ac:dyDescent="0.2">
      <c r="B5" s="14"/>
      <c r="C5" s="15" t="s">
        <v>19</v>
      </c>
      <c r="D5" s="15" t="s">
        <v>20</v>
      </c>
      <c r="E5" s="15" t="s">
        <v>21</v>
      </c>
      <c r="F5" s="15" t="s">
        <v>22</v>
      </c>
      <c r="G5" s="15" t="s">
        <v>23</v>
      </c>
      <c r="I5" s="5" t="s">
        <v>40</v>
      </c>
    </row>
    <row r="6" spans="2:12" x14ac:dyDescent="0.2">
      <c r="B6" s="165" t="s">
        <v>556</v>
      </c>
      <c r="C6" s="167"/>
      <c r="D6" s="192"/>
      <c r="E6" s="166"/>
      <c r="F6" s="166"/>
      <c r="G6" s="166"/>
      <c r="I6" s="149"/>
      <c r="J6" s="149"/>
      <c r="K6" s="149"/>
      <c r="L6" s="149"/>
    </row>
    <row r="7" spans="2:12" x14ac:dyDescent="0.2">
      <c r="B7" s="167" t="s">
        <v>557</v>
      </c>
      <c r="C7" s="187">
        <f>'2-Income Statement'!D71</f>
        <v>-133279.15000000002</v>
      </c>
      <c r="D7" s="187">
        <f>'2-Income Statement'!E71</f>
        <v>57331.606500000053</v>
      </c>
      <c r="E7" s="187">
        <f>'2-Income Statement'!F71</f>
        <v>486611.03025903105</v>
      </c>
      <c r="F7" s="187">
        <f>'2-Income Statement'!G71</f>
        <v>956719.05359193869</v>
      </c>
      <c r="G7" s="187">
        <f>'2-Income Statement'!H71</f>
        <v>1643266.5896356725</v>
      </c>
      <c r="I7" s="149"/>
      <c r="J7" s="149"/>
      <c r="K7" s="149"/>
      <c r="L7" s="149"/>
    </row>
    <row r="8" spans="2:12" x14ac:dyDescent="0.2">
      <c r="B8" s="167" t="s">
        <v>558</v>
      </c>
      <c r="C8" s="187">
        <f>'2-Income Statement'!D68</f>
        <v>1300</v>
      </c>
      <c r="D8" s="187">
        <f>'2-Income Statement'!E68</f>
        <v>1600</v>
      </c>
      <c r="E8" s="187">
        <f>'2-Income Statement'!F68</f>
        <v>1900</v>
      </c>
      <c r="F8" s="187">
        <f>'2-Income Statement'!G68</f>
        <v>2200</v>
      </c>
      <c r="G8" s="187">
        <f>'2-Income Statement'!H68</f>
        <v>2500</v>
      </c>
      <c r="I8" s="149"/>
      <c r="J8" s="149"/>
      <c r="K8" s="149"/>
      <c r="L8" s="149"/>
    </row>
    <row r="9" spans="2:12" x14ac:dyDescent="0.2">
      <c r="B9" s="167" t="s">
        <v>559</v>
      </c>
      <c r="C9" s="187">
        <f>-('1-Balance Sheet'!C9)-('1-Balance Sheet'!C10)+('1-Balance Sheet'!C17)+('1-Balance Sheet'!C18)</f>
        <v>-622.96643835616305</v>
      </c>
      <c r="D9" s="187">
        <f>-('1-Balance Sheet'!D9-'1-Balance Sheet'!C9)-('1-Balance Sheet'!D10-'1-Balance Sheet'!C10)+('1-Balance Sheet'!D17-'1-Balance Sheet'!C17)+('1-Balance Sheet'!D18-'1-Balance Sheet'!C18)</f>
        <v>-20284.757116438363</v>
      </c>
      <c r="E9" s="187">
        <f>-('1-Balance Sheet'!E9-'1-Balance Sheet'!D9)-('1-Balance Sheet'!E10-'1-Balance Sheet'!D10)+('1-Balance Sheet'!E17-'1-Balance Sheet'!D17)+('1-Balance Sheet'!E18-'1-Balance Sheet'!D18)</f>
        <v>-51120.633611662095</v>
      </c>
      <c r="F9" s="187">
        <f>-('1-Balance Sheet'!F9-'1-Balance Sheet'!E9)-('1-Balance Sheet'!F10-'1-Balance Sheet'!E10)+('1-Balance Sheet'!F17-'1-Balance Sheet'!E17)+('1-Balance Sheet'!F18-'1-Balance Sheet'!E18)</f>
        <v>-56248.954291547197</v>
      </c>
      <c r="G9" s="187">
        <f>-('1-Balance Sheet'!G9-'1-Balance Sheet'!F9)-('1-Balance Sheet'!G10-'1-Balance Sheet'!F10)+('1-Balance Sheet'!G17-'1-Balance Sheet'!F17)+('1-Balance Sheet'!G18-'1-Balance Sheet'!F18)</f>
        <v>-76113.75326460287</v>
      </c>
      <c r="I9" s="149"/>
      <c r="J9" s="149"/>
      <c r="K9" s="149"/>
      <c r="L9" s="149"/>
    </row>
    <row r="10" spans="2:12" x14ac:dyDescent="0.2">
      <c r="B10" s="179" t="s">
        <v>560</v>
      </c>
      <c r="C10" s="188">
        <f>SUM(C7:C9)</f>
        <v>-132602.1164383562</v>
      </c>
      <c r="D10" s="188">
        <f t="shared" ref="D10:G10" si="0">SUM(D7:D9)</f>
        <v>38646.84938356169</v>
      </c>
      <c r="E10" s="188">
        <f t="shared" si="0"/>
        <v>437390.39664736897</v>
      </c>
      <c r="F10" s="188">
        <f t="shared" si="0"/>
        <v>902670.09930039151</v>
      </c>
      <c r="G10" s="188">
        <f t="shared" si="0"/>
        <v>1569652.8363710695</v>
      </c>
      <c r="I10" s="149"/>
      <c r="J10" s="149"/>
      <c r="K10" s="149"/>
      <c r="L10" s="149"/>
    </row>
    <row r="11" spans="2:12" x14ac:dyDescent="0.2">
      <c r="B11" s="172"/>
      <c r="C11" s="186"/>
      <c r="D11" s="186"/>
      <c r="E11" s="186"/>
      <c r="F11" s="186"/>
      <c r="G11" s="186"/>
    </row>
    <row r="12" spans="2:12" x14ac:dyDescent="0.2">
      <c r="B12" s="165" t="s">
        <v>561</v>
      </c>
      <c r="C12" s="200"/>
      <c r="D12" s="200"/>
      <c r="E12" s="200"/>
      <c r="F12" s="200"/>
      <c r="G12" s="200"/>
    </row>
    <row r="13" spans="2:12" x14ac:dyDescent="0.2">
      <c r="B13" s="167" t="s">
        <v>562</v>
      </c>
      <c r="C13" s="201">
        <f>-'2-Income Statement'!D38</f>
        <v>-6500</v>
      </c>
      <c r="D13" s="201">
        <f>-'2-Income Statement'!E38</f>
        <v>-1500</v>
      </c>
      <c r="E13" s="201">
        <f>-'2-Income Statement'!F38</f>
        <v>-1500</v>
      </c>
      <c r="F13" s="201">
        <f>-'2-Income Statement'!G38</f>
        <v>-1500</v>
      </c>
      <c r="G13" s="201">
        <f>-'2-Income Statement'!H38</f>
        <v>-1500</v>
      </c>
    </row>
    <row r="14" spans="2:12" x14ac:dyDescent="0.2">
      <c r="B14" s="179" t="s">
        <v>563</v>
      </c>
      <c r="C14" s="188">
        <f>SUM(C13)</f>
        <v>-6500</v>
      </c>
      <c r="D14" s="188">
        <f t="shared" ref="D14:G14" si="1">SUM(D13)</f>
        <v>-1500</v>
      </c>
      <c r="E14" s="188">
        <f t="shared" si="1"/>
        <v>-1500</v>
      </c>
      <c r="F14" s="188">
        <f t="shared" si="1"/>
        <v>-1500</v>
      </c>
      <c r="G14" s="188">
        <f t="shared" si="1"/>
        <v>-1500</v>
      </c>
    </row>
    <row r="15" spans="2:12" x14ac:dyDescent="0.2">
      <c r="B15" s="172"/>
      <c r="C15" s="186"/>
      <c r="D15" s="186"/>
      <c r="E15" s="186"/>
      <c r="F15" s="186"/>
      <c r="G15" s="186"/>
    </row>
    <row r="16" spans="2:12" x14ac:dyDescent="0.2">
      <c r="B16" s="165" t="s">
        <v>564</v>
      </c>
      <c r="C16" s="200"/>
      <c r="D16" s="200"/>
      <c r="E16" s="200"/>
      <c r="F16" s="200"/>
      <c r="G16" s="200"/>
    </row>
    <row r="17" spans="2:7" x14ac:dyDescent="0.2">
      <c r="B17" s="167" t="s">
        <v>565</v>
      </c>
      <c r="C17" s="201">
        <v>0</v>
      </c>
      <c r="D17" s="201">
        <v>0</v>
      </c>
      <c r="E17" s="201">
        <v>0</v>
      </c>
      <c r="F17" s="201">
        <v>0</v>
      </c>
      <c r="G17" s="201">
        <v>0</v>
      </c>
    </row>
    <row r="18" spans="2:7" x14ac:dyDescent="0.2">
      <c r="B18" s="167" t="s">
        <v>566</v>
      </c>
      <c r="C18" s="201">
        <v>500000</v>
      </c>
      <c r="D18" s="201">
        <v>0</v>
      </c>
      <c r="E18" s="201">
        <v>0</v>
      </c>
      <c r="F18" s="201">
        <v>0</v>
      </c>
      <c r="G18" s="201">
        <v>0</v>
      </c>
    </row>
    <row r="19" spans="2:7" x14ac:dyDescent="0.2">
      <c r="B19" s="179" t="s">
        <v>567</v>
      </c>
      <c r="C19" s="188">
        <f>SUM(C17:C18)</f>
        <v>500000</v>
      </c>
      <c r="D19" s="188">
        <f t="shared" ref="D19:G19" si="2">SUM(D17:D18)</f>
        <v>0</v>
      </c>
      <c r="E19" s="188">
        <f t="shared" si="2"/>
        <v>0</v>
      </c>
      <c r="F19" s="188">
        <f t="shared" si="2"/>
        <v>0</v>
      </c>
      <c r="G19" s="188">
        <f t="shared" si="2"/>
        <v>0</v>
      </c>
    </row>
    <row r="20" spans="2:7" x14ac:dyDescent="0.2">
      <c r="B20" s="172"/>
      <c r="C20" s="186"/>
      <c r="D20" s="186"/>
      <c r="E20" s="186"/>
      <c r="F20" s="186"/>
      <c r="G20" s="186"/>
    </row>
    <row r="21" spans="2:7" x14ac:dyDescent="0.2">
      <c r="B21" s="167" t="s">
        <v>568</v>
      </c>
      <c r="C21" s="202">
        <f>C10+C14+C19</f>
        <v>360897.88356164377</v>
      </c>
      <c r="D21" s="202">
        <f t="shared" ref="D21:G21" si="3">D10+D14+D19</f>
        <v>37146.84938356169</v>
      </c>
      <c r="E21" s="202">
        <f t="shared" si="3"/>
        <v>435890.39664736897</v>
      </c>
      <c r="F21" s="202">
        <f t="shared" si="3"/>
        <v>901170.09930039151</v>
      </c>
      <c r="G21" s="202">
        <f t="shared" si="3"/>
        <v>1568152.8363710695</v>
      </c>
    </row>
    <row r="22" spans="2:7" x14ac:dyDescent="0.2">
      <c r="B22" s="167" t="s">
        <v>569</v>
      </c>
      <c r="C22" s="201">
        <v>0</v>
      </c>
      <c r="D22" s="203">
        <f>C23</f>
        <v>360897.88356164377</v>
      </c>
      <c r="E22" s="203">
        <f t="shared" ref="E22:G22" si="4">D23</f>
        <v>398044.73294520547</v>
      </c>
      <c r="F22" s="203">
        <f t="shared" si="4"/>
        <v>833935.12959257443</v>
      </c>
      <c r="G22" s="203">
        <f t="shared" si="4"/>
        <v>1735105.2288929659</v>
      </c>
    </row>
    <row r="23" spans="2:7" x14ac:dyDescent="0.2">
      <c r="B23" s="173" t="s">
        <v>570</v>
      </c>
      <c r="C23" s="204">
        <f>SUM(C21:C22)</f>
        <v>360897.88356164377</v>
      </c>
      <c r="D23" s="204">
        <f t="shared" ref="D23:G23" si="5">SUM(D21:D22)</f>
        <v>398044.73294520547</v>
      </c>
      <c r="E23" s="204">
        <f t="shared" si="5"/>
        <v>833935.12959257443</v>
      </c>
      <c r="F23" s="204">
        <f t="shared" si="5"/>
        <v>1735105.2288929659</v>
      </c>
      <c r="G23" s="204">
        <f t="shared" si="5"/>
        <v>3303258.0652640355</v>
      </c>
    </row>
    <row r="24" spans="2:7" x14ac:dyDescent="0.2">
      <c r="B24" s="191"/>
      <c r="C24" s="200"/>
      <c r="D24" s="200"/>
      <c r="E24" s="200"/>
      <c r="F24" s="200"/>
      <c r="G24" s="200"/>
    </row>
    <row r="25" spans="2:7" x14ac:dyDescent="0.2">
      <c r="B25" s="199" t="s">
        <v>575</v>
      </c>
      <c r="C25" s="205">
        <f>C10+C14</f>
        <v>-139102.1164383562</v>
      </c>
      <c r="D25" s="205">
        <f t="shared" ref="D25:G25" si="6">D10+D14</f>
        <v>37146.84938356169</v>
      </c>
      <c r="E25" s="205">
        <f t="shared" si="6"/>
        <v>435890.39664736897</v>
      </c>
      <c r="F25" s="205">
        <f t="shared" si="6"/>
        <v>901170.09930039151</v>
      </c>
      <c r="G25" s="205">
        <f t="shared" si="6"/>
        <v>1568152.8363710695</v>
      </c>
    </row>
    <row r="26" spans="2:7" x14ac:dyDescent="0.2">
      <c r="B26" s="8"/>
    </row>
    <row r="27" spans="2:7" x14ac:dyDescent="0.2">
      <c r="B27" s="7"/>
      <c r="C27" s="98"/>
      <c r="D27" s="162" t="s">
        <v>115</v>
      </c>
      <c r="E27" s="162"/>
      <c r="F27" s="162"/>
      <c r="G27" s="162"/>
    </row>
    <row r="28" spans="2:7" x14ac:dyDescent="0.2">
      <c r="B28" s="7"/>
      <c r="C28" s="98"/>
      <c r="D28" s="98"/>
      <c r="E28" s="98"/>
      <c r="F28" s="98"/>
      <c r="G28" s="98"/>
    </row>
    <row r="29" spans="2:7" x14ac:dyDescent="0.2">
      <c r="B29" s="7"/>
      <c r="C29" s="98"/>
      <c r="D29" s="98"/>
      <c r="E29" s="98"/>
      <c r="F29" s="98"/>
      <c r="G29" s="98"/>
    </row>
    <row r="30" spans="2:7" x14ac:dyDescent="0.2">
      <c r="B30" s="7"/>
      <c r="C30" s="98"/>
      <c r="D30" s="98"/>
      <c r="E30" s="98"/>
      <c r="F30" s="98"/>
      <c r="G30" s="98"/>
    </row>
    <row r="31" spans="2:7" x14ac:dyDescent="0.2">
      <c r="B31" s="7"/>
      <c r="C31" s="98"/>
      <c r="D31" s="98"/>
      <c r="E31" s="98"/>
      <c r="F31" s="98"/>
      <c r="G31" s="98"/>
    </row>
    <row r="32" spans="2:7" x14ac:dyDescent="0.2">
      <c r="B32" s="7"/>
      <c r="C32" s="98"/>
      <c r="D32" s="98"/>
      <c r="E32" s="98"/>
      <c r="F32" s="98"/>
      <c r="G32" s="98"/>
    </row>
    <row r="33" spans="2:12" x14ac:dyDescent="0.2">
      <c r="B33" s="7"/>
      <c r="C33" s="98"/>
      <c r="D33" s="98"/>
      <c r="E33" s="98"/>
      <c r="F33" s="98"/>
      <c r="G33" s="98"/>
    </row>
    <row r="34" spans="2:12" x14ac:dyDescent="0.2">
      <c r="B34" s="8"/>
      <c r="C34" s="10"/>
      <c r="D34" s="10"/>
      <c r="E34" s="10"/>
      <c r="F34" s="10"/>
      <c r="G34" s="10"/>
    </row>
    <row r="35" spans="2:12" x14ac:dyDescent="0.2">
      <c r="C35" s="11"/>
      <c r="D35" s="11"/>
      <c r="E35" s="11"/>
      <c r="F35" s="11"/>
      <c r="G35" s="11"/>
    </row>
    <row r="37" spans="2:12" x14ac:dyDescent="0.2">
      <c r="B37" s="119"/>
      <c r="C37" s="119"/>
      <c r="D37" s="119"/>
      <c r="E37" s="119"/>
      <c r="F37" s="119"/>
      <c r="G37" s="119"/>
    </row>
    <row r="38" spans="2:12" x14ac:dyDescent="0.2">
      <c r="B38" s="8"/>
      <c r="C38" s="95"/>
      <c r="D38" s="95"/>
      <c r="E38" s="95"/>
      <c r="F38" s="95"/>
      <c r="G38" s="95"/>
    </row>
    <row r="39" spans="2:12" x14ac:dyDescent="0.2">
      <c r="C39" s="79"/>
      <c r="D39" s="79"/>
      <c r="E39" s="79"/>
      <c r="F39" s="79"/>
      <c r="G39" s="79"/>
    </row>
    <row r="40" spans="2:12" x14ac:dyDescent="0.2">
      <c r="B40" s="8"/>
      <c r="C40" s="95"/>
      <c r="D40" s="95"/>
      <c r="E40" s="95"/>
      <c r="F40" s="95"/>
      <c r="G40" s="95"/>
      <c r="H40" s="79"/>
      <c r="I40" s="79"/>
      <c r="J40" s="79"/>
      <c r="K40" s="79"/>
      <c r="L40" s="79"/>
    </row>
    <row r="41" spans="2:12" x14ac:dyDescent="0.2">
      <c r="B41" s="12"/>
      <c r="C41" s="36"/>
      <c r="D41" s="36"/>
      <c r="E41" s="36"/>
      <c r="F41" s="36"/>
      <c r="G41" s="36"/>
    </row>
    <row r="43" spans="2:12" x14ac:dyDescent="0.2">
      <c r="B43" s="8"/>
    </row>
    <row r="44" spans="2:12" x14ac:dyDescent="0.2">
      <c r="B44" s="81"/>
      <c r="C44" s="4"/>
      <c r="D44" s="4"/>
      <c r="E44" s="4"/>
      <c r="F44" s="4"/>
      <c r="G44" s="4"/>
    </row>
    <row r="45" spans="2:12" x14ac:dyDescent="0.2">
      <c r="B45" s="7"/>
      <c r="C45" s="93"/>
      <c r="D45" s="93"/>
      <c r="E45" s="93"/>
      <c r="F45" s="93"/>
      <c r="G45" s="93"/>
    </row>
    <row r="46" spans="2:12" x14ac:dyDescent="0.2">
      <c r="B46" s="7"/>
      <c r="C46" s="93"/>
      <c r="D46" s="93"/>
      <c r="E46" s="93"/>
      <c r="F46" s="93"/>
      <c r="G46" s="93"/>
    </row>
    <row r="47" spans="2:12" x14ac:dyDescent="0.2">
      <c r="B47" s="81"/>
      <c r="C47" s="30"/>
      <c r="D47" s="30"/>
      <c r="E47" s="30"/>
      <c r="F47" s="30"/>
      <c r="G47" s="30"/>
    </row>
    <row r="48" spans="2:12" x14ac:dyDescent="0.2">
      <c r="B48" s="7"/>
      <c r="C48" s="161"/>
      <c r="D48" s="161"/>
      <c r="E48" s="161"/>
      <c r="F48" s="161"/>
      <c r="G48" s="161"/>
    </row>
    <row r="49" spans="2:7" x14ac:dyDescent="0.2">
      <c r="B49" s="7"/>
      <c r="C49" s="93"/>
      <c r="D49" s="93"/>
      <c r="E49" s="93"/>
      <c r="F49" s="93"/>
      <c r="G49" s="93"/>
    </row>
    <row r="50" spans="2:7" x14ac:dyDescent="0.2">
      <c r="B50" s="7"/>
      <c r="C50" s="93"/>
      <c r="D50" s="93"/>
      <c r="E50" s="93"/>
      <c r="F50" s="93"/>
      <c r="G50" s="93"/>
    </row>
    <row r="51" spans="2:7" x14ac:dyDescent="0.2">
      <c r="B51" s="81"/>
      <c r="C51" s="93"/>
      <c r="D51" s="93"/>
      <c r="E51" s="93"/>
      <c r="F51" s="93"/>
      <c r="G51" s="93"/>
    </row>
    <row r="52" spans="2:7" x14ac:dyDescent="0.2">
      <c r="B52" s="7"/>
      <c r="C52" s="93"/>
      <c r="D52" s="93"/>
      <c r="E52" s="93"/>
      <c r="F52" s="93"/>
      <c r="G52" s="93"/>
    </row>
    <row r="53" spans="2:7" x14ac:dyDescent="0.2">
      <c r="B53" s="81"/>
      <c r="C53" s="93"/>
      <c r="D53" s="93"/>
      <c r="E53" s="93"/>
      <c r="F53" s="93"/>
      <c r="G53" s="93"/>
    </row>
    <row r="54" spans="2:7" x14ac:dyDescent="0.2">
      <c r="B54" s="7"/>
      <c r="C54" s="93"/>
      <c r="D54" s="93"/>
      <c r="E54" s="93"/>
      <c r="F54" s="93"/>
      <c r="G54" s="93"/>
    </row>
    <row r="55" spans="2:7" x14ac:dyDescent="0.2">
      <c r="B55" s="7"/>
      <c r="C55" s="93"/>
      <c r="D55" s="93"/>
      <c r="E55" s="93"/>
      <c r="F55" s="93"/>
      <c r="G55" s="93"/>
    </row>
    <row r="56" spans="2:7" x14ac:dyDescent="0.2">
      <c r="B56" s="48"/>
      <c r="C56" s="30"/>
      <c r="D56" s="30"/>
      <c r="E56" s="30"/>
      <c r="F56" s="30"/>
      <c r="G56" s="30"/>
    </row>
    <row r="57" spans="2:7" x14ac:dyDescent="0.2">
      <c r="B57" s="8"/>
      <c r="C57" s="30"/>
      <c r="D57" s="30"/>
      <c r="E57" s="30"/>
      <c r="F57" s="30"/>
      <c r="G57" s="30"/>
    </row>
    <row r="58" spans="2:7" x14ac:dyDescent="0.2">
      <c r="B58" s="7"/>
      <c r="C58" s="93"/>
      <c r="D58" s="93"/>
      <c r="E58" s="93"/>
      <c r="F58" s="93"/>
      <c r="G58" s="93"/>
    </row>
    <row r="59" spans="2:7" x14ac:dyDescent="0.2">
      <c r="B59" s="8"/>
      <c r="C59" s="30"/>
      <c r="D59" s="30"/>
      <c r="E59" s="30"/>
      <c r="F59" s="30"/>
      <c r="G59" s="30"/>
    </row>
    <row r="60" spans="2:7" x14ac:dyDescent="0.2">
      <c r="B60" s="7"/>
      <c r="C60" s="163"/>
      <c r="D60" s="164"/>
      <c r="E60" s="97"/>
      <c r="F60" s="97"/>
      <c r="G60" s="97"/>
    </row>
    <row r="61" spans="2:7" x14ac:dyDescent="0.2">
      <c r="B61" s="8"/>
      <c r="C61" s="30"/>
      <c r="D61" s="30"/>
      <c r="E61" s="30"/>
      <c r="F61" s="30"/>
      <c r="G61" s="30"/>
    </row>
    <row r="65" spans="5:5" x14ac:dyDescent="0.2">
      <c r="E65" s="5" t="s">
        <v>115</v>
      </c>
    </row>
  </sheetData>
  <mergeCells count="2">
    <mergeCell ref="B2:G2"/>
    <mergeCell ref="B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B590-9D69-1A46-8082-E9BF742AE964}">
  <dimension ref="B2:I139"/>
  <sheetViews>
    <sheetView showGridLines="0" zoomScale="125" zoomScaleNormal="100" workbookViewId="0">
      <pane ySplit="3" topLeftCell="A7" activePane="bottomLeft" state="frozenSplit"/>
      <selection pane="bottomLeft" activeCell="D99" sqref="D99"/>
    </sheetView>
  </sheetViews>
  <sheetFormatPr baseColWidth="10" defaultColWidth="10.83203125" defaultRowHeight="15" x14ac:dyDescent="0.2"/>
  <cols>
    <col min="1" max="1" width="5.5" style="5" customWidth="1"/>
    <col min="2" max="2" width="18" style="5" customWidth="1"/>
    <col min="3" max="4" width="30.5" style="5" customWidth="1"/>
    <col min="5" max="5" width="30.5" style="58" customWidth="1"/>
    <col min="6" max="7" width="30.5" style="5" customWidth="1"/>
    <col min="8" max="10" width="10.83203125" style="5"/>
    <col min="11" max="11" width="10.83203125" style="5" customWidth="1"/>
    <col min="12" max="16384" width="10.83203125" style="5"/>
  </cols>
  <sheetData>
    <row r="2" spans="2:9" ht="16" customHeight="1" x14ac:dyDescent="0.2">
      <c r="B2" s="208" t="s">
        <v>43</v>
      </c>
      <c r="C2" s="208"/>
      <c r="D2" s="208"/>
      <c r="E2" s="208"/>
      <c r="F2" s="208"/>
      <c r="G2" s="208"/>
    </row>
    <row r="3" spans="2:9" x14ac:dyDescent="0.2">
      <c r="B3" s="37" t="s">
        <v>0</v>
      </c>
      <c r="C3" s="38" t="s">
        <v>48</v>
      </c>
      <c r="D3" s="38" t="s">
        <v>47</v>
      </c>
      <c r="E3" s="56" t="s">
        <v>66</v>
      </c>
      <c r="F3" s="38" t="s">
        <v>60</v>
      </c>
      <c r="G3" s="38" t="s">
        <v>59</v>
      </c>
    </row>
    <row r="4" spans="2:9" x14ac:dyDescent="0.2">
      <c r="B4" s="119"/>
      <c r="C4" s="120"/>
      <c r="D4" s="120"/>
      <c r="E4" s="121"/>
      <c r="F4" s="120"/>
      <c r="G4" s="120"/>
    </row>
    <row r="5" spans="2:9" ht="16" thickBot="1" x14ac:dyDescent="0.25">
      <c r="B5" s="209" t="s">
        <v>135</v>
      </c>
      <c r="C5" s="209"/>
      <c r="D5" s="209"/>
      <c r="E5" s="209"/>
      <c r="F5" s="209"/>
      <c r="G5" s="209"/>
    </row>
    <row r="6" spans="2:9" ht="16" thickTop="1" x14ac:dyDescent="0.2">
      <c r="B6" s="39" t="s">
        <v>19</v>
      </c>
      <c r="C6" s="40"/>
      <c r="D6" s="40"/>
      <c r="E6" s="57"/>
      <c r="F6" s="40"/>
      <c r="G6" s="40"/>
    </row>
    <row r="7" spans="2:9" x14ac:dyDescent="0.2">
      <c r="B7" s="8" t="s">
        <v>44</v>
      </c>
    </row>
    <row r="8" spans="2:9" x14ac:dyDescent="0.2">
      <c r="B8" s="7" t="s">
        <v>45</v>
      </c>
      <c r="C8" s="42">
        <v>0</v>
      </c>
      <c r="D8" s="44">
        <f>'2-Income Statement'!$D$9/12</f>
        <v>29.833333333333332</v>
      </c>
      <c r="E8" s="41">
        <v>0</v>
      </c>
      <c r="F8" s="44">
        <f>D8</f>
        <v>29.833333333333332</v>
      </c>
      <c r="G8" s="43">
        <f t="shared" ref="G8:G19" si="0">F8*43</f>
        <v>1282.8333333333333</v>
      </c>
      <c r="H8" s="28"/>
      <c r="I8" s="5" t="s">
        <v>573</v>
      </c>
    </row>
    <row r="9" spans="2:9" x14ac:dyDescent="0.2">
      <c r="B9" s="7" t="s">
        <v>46</v>
      </c>
      <c r="C9" s="42">
        <v>0</v>
      </c>
      <c r="D9" s="44">
        <f>'2-Income Statement'!$D$9/12</f>
        <v>29.833333333333332</v>
      </c>
      <c r="E9" s="41">
        <v>0</v>
      </c>
      <c r="F9" s="44">
        <f t="shared" ref="F9:F19" si="1">C8+F8+D9</f>
        <v>59.666666666666664</v>
      </c>
      <c r="G9" s="43">
        <f t="shared" si="0"/>
        <v>2565.6666666666665</v>
      </c>
    </row>
    <row r="10" spans="2:9" x14ac:dyDescent="0.2">
      <c r="B10" s="7" t="s">
        <v>49</v>
      </c>
      <c r="C10" s="42">
        <v>0</v>
      </c>
      <c r="D10" s="44">
        <f>'2-Income Statement'!$D$9/12</f>
        <v>29.833333333333332</v>
      </c>
      <c r="E10" s="41">
        <v>0</v>
      </c>
      <c r="F10" s="44">
        <f t="shared" si="1"/>
        <v>89.5</v>
      </c>
      <c r="G10" s="43">
        <f t="shared" si="0"/>
        <v>3848.5</v>
      </c>
    </row>
    <row r="11" spans="2:9" x14ac:dyDescent="0.2">
      <c r="B11" s="7" t="s">
        <v>50</v>
      </c>
      <c r="C11" s="42">
        <v>0</v>
      </c>
      <c r="D11" s="44">
        <f>'2-Income Statement'!$D$9/12</f>
        <v>29.833333333333332</v>
      </c>
      <c r="E11" s="41">
        <v>0</v>
      </c>
      <c r="F11" s="44">
        <f t="shared" si="1"/>
        <v>119.33333333333333</v>
      </c>
      <c r="G11" s="43">
        <f t="shared" si="0"/>
        <v>5131.333333333333</v>
      </c>
    </row>
    <row r="12" spans="2:9" x14ac:dyDescent="0.2">
      <c r="B12" s="7" t="s">
        <v>51</v>
      </c>
      <c r="C12" s="42">
        <v>0</v>
      </c>
      <c r="D12" s="44">
        <f>'2-Income Statement'!$D$9/12</f>
        <v>29.833333333333332</v>
      </c>
      <c r="E12" s="41">
        <v>0</v>
      </c>
      <c r="F12" s="44">
        <f t="shared" si="1"/>
        <v>149.16666666666666</v>
      </c>
      <c r="G12" s="43">
        <f t="shared" si="0"/>
        <v>6414.1666666666661</v>
      </c>
    </row>
    <row r="13" spans="2:9" x14ac:dyDescent="0.2">
      <c r="B13" s="7" t="s">
        <v>52</v>
      </c>
      <c r="C13" s="42">
        <v>0</v>
      </c>
      <c r="D13" s="44">
        <f>'2-Income Statement'!$D$9/12</f>
        <v>29.833333333333332</v>
      </c>
      <c r="E13" s="41">
        <v>0</v>
      </c>
      <c r="F13" s="44">
        <f t="shared" si="1"/>
        <v>179</v>
      </c>
      <c r="G13" s="43">
        <f t="shared" si="0"/>
        <v>7697</v>
      </c>
    </row>
    <row r="14" spans="2:9" x14ac:dyDescent="0.2">
      <c r="B14" s="7" t="s">
        <v>53</v>
      </c>
      <c r="C14" s="42">
        <v>0</v>
      </c>
      <c r="D14" s="44">
        <f>'2-Income Statement'!$D$9/12</f>
        <v>29.833333333333332</v>
      </c>
      <c r="E14" s="41">
        <v>0</v>
      </c>
      <c r="F14" s="44">
        <f t="shared" si="1"/>
        <v>208.83333333333334</v>
      </c>
      <c r="G14" s="43">
        <f t="shared" si="0"/>
        <v>8979.8333333333339</v>
      </c>
    </row>
    <row r="15" spans="2:9" x14ac:dyDescent="0.2">
      <c r="B15" s="7" t="s">
        <v>54</v>
      </c>
      <c r="C15" s="42">
        <v>0</v>
      </c>
      <c r="D15" s="44">
        <f>'2-Income Statement'!$D$9/12</f>
        <v>29.833333333333332</v>
      </c>
      <c r="E15" s="41">
        <v>0</v>
      </c>
      <c r="F15" s="44">
        <f t="shared" si="1"/>
        <v>238.66666666666669</v>
      </c>
      <c r="G15" s="43">
        <f t="shared" si="0"/>
        <v>10262.666666666668</v>
      </c>
    </row>
    <row r="16" spans="2:9" x14ac:dyDescent="0.2">
      <c r="B16" s="7" t="s">
        <v>55</v>
      </c>
      <c r="C16" s="42">
        <v>0</v>
      </c>
      <c r="D16" s="44">
        <f>'2-Income Statement'!$D$9/12</f>
        <v>29.833333333333332</v>
      </c>
      <c r="E16" s="41">
        <v>0</v>
      </c>
      <c r="F16" s="44">
        <f t="shared" si="1"/>
        <v>268.5</v>
      </c>
      <c r="G16" s="43">
        <f t="shared" si="0"/>
        <v>11545.5</v>
      </c>
    </row>
    <row r="17" spans="2:8" x14ac:dyDescent="0.2">
      <c r="B17" s="7" t="s">
        <v>56</v>
      </c>
      <c r="C17" s="42">
        <v>0</v>
      </c>
      <c r="D17" s="44">
        <f>'2-Income Statement'!$D$9/12</f>
        <v>29.833333333333332</v>
      </c>
      <c r="E17" s="41">
        <v>0</v>
      </c>
      <c r="F17" s="44">
        <f t="shared" si="1"/>
        <v>298.33333333333331</v>
      </c>
      <c r="G17" s="43">
        <f t="shared" si="0"/>
        <v>12828.333333333332</v>
      </c>
    </row>
    <row r="18" spans="2:8" x14ac:dyDescent="0.2">
      <c r="B18" s="7" t="s">
        <v>57</v>
      </c>
      <c r="C18" s="42">
        <v>0</v>
      </c>
      <c r="D18" s="44">
        <f>'2-Income Statement'!$D$9/12</f>
        <v>29.833333333333332</v>
      </c>
      <c r="E18" s="41">
        <v>0</v>
      </c>
      <c r="F18" s="44">
        <f t="shared" si="1"/>
        <v>328.16666666666663</v>
      </c>
      <c r="G18" s="43">
        <f t="shared" si="0"/>
        <v>14111.166666666664</v>
      </c>
    </row>
    <row r="19" spans="2:8" x14ac:dyDescent="0.2">
      <c r="B19" s="7" t="s">
        <v>58</v>
      </c>
      <c r="C19" s="42">
        <v>0</v>
      </c>
      <c r="D19" s="44">
        <f>'2-Income Statement'!$D$9/12</f>
        <v>29.833333333333332</v>
      </c>
      <c r="E19" s="41">
        <v>0</v>
      </c>
      <c r="F19" s="44">
        <f t="shared" si="1"/>
        <v>357.99999999999994</v>
      </c>
      <c r="G19" s="43">
        <f t="shared" si="0"/>
        <v>15393.999999999998</v>
      </c>
    </row>
    <row r="20" spans="2:8" x14ac:dyDescent="0.2">
      <c r="B20" s="46" t="s">
        <v>61</v>
      </c>
      <c r="C20" s="47"/>
      <c r="D20" s="53">
        <f>SUM(D8:D19)</f>
        <v>357.99999999999994</v>
      </c>
      <c r="E20" s="59"/>
      <c r="F20" s="51">
        <f>F19</f>
        <v>357.99999999999994</v>
      </c>
      <c r="G20" s="50">
        <f>SUM(G8:G19)</f>
        <v>100061</v>
      </c>
    </row>
    <row r="21" spans="2:8" x14ac:dyDescent="0.2">
      <c r="B21" s="48"/>
      <c r="C21" s="49"/>
      <c r="D21" s="49"/>
      <c r="E21" s="41"/>
      <c r="F21" s="49"/>
      <c r="G21" s="10"/>
    </row>
    <row r="22" spans="2:8" x14ac:dyDescent="0.2">
      <c r="B22" s="39" t="s">
        <v>20</v>
      </c>
      <c r="C22" s="40"/>
      <c r="D22" s="40"/>
      <c r="E22" s="57"/>
      <c r="F22" s="40"/>
      <c r="G22" s="40"/>
    </row>
    <row r="23" spans="2:8" x14ac:dyDescent="0.2">
      <c r="B23" s="8" t="s">
        <v>44</v>
      </c>
      <c r="H23" s="28"/>
    </row>
    <row r="24" spans="2:8" x14ac:dyDescent="0.2">
      <c r="B24" s="7" t="s">
        <v>45</v>
      </c>
      <c r="C24" s="52">
        <f>$D$20</f>
        <v>357.99999999999994</v>
      </c>
      <c r="D24" s="44">
        <f>'2-Income Statement'!$E$9/12</f>
        <v>53.75</v>
      </c>
      <c r="E24" s="41">
        <v>0</v>
      </c>
      <c r="F24" s="44">
        <f>C24+D24</f>
        <v>411.74999999999994</v>
      </c>
      <c r="G24" s="54">
        <f t="shared" ref="G24:G35" si="2">F24*43</f>
        <v>17705.249999999996</v>
      </c>
    </row>
    <row r="25" spans="2:8" x14ac:dyDescent="0.2">
      <c r="B25" s="7" t="s">
        <v>46</v>
      </c>
      <c r="C25" s="52">
        <f t="shared" ref="C25:C35" si="3">$D$20</f>
        <v>357.99999999999994</v>
      </c>
      <c r="D25" s="44">
        <f>'2-Income Statement'!$E$9/12</f>
        <v>53.75</v>
      </c>
      <c r="E25" s="41">
        <v>0</v>
      </c>
      <c r="F25" s="44">
        <f t="shared" ref="F25:F35" si="4">F24+D25</f>
        <v>465.49999999999994</v>
      </c>
      <c r="G25" s="54">
        <f t="shared" si="2"/>
        <v>20016.499999999996</v>
      </c>
    </row>
    <row r="26" spans="2:8" x14ac:dyDescent="0.2">
      <c r="B26" s="7" t="s">
        <v>49</v>
      </c>
      <c r="C26" s="52">
        <f t="shared" si="3"/>
        <v>357.99999999999994</v>
      </c>
      <c r="D26" s="44">
        <f>'2-Income Statement'!$E$9/12</f>
        <v>53.75</v>
      </c>
      <c r="E26" s="41">
        <v>0</v>
      </c>
      <c r="F26" s="44">
        <f t="shared" si="4"/>
        <v>519.25</v>
      </c>
      <c r="G26" s="54">
        <f t="shared" si="2"/>
        <v>22327.75</v>
      </c>
    </row>
    <row r="27" spans="2:8" x14ac:dyDescent="0.2">
      <c r="B27" s="7" t="s">
        <v>50</v>
      </c>
      <c r="C27" s="52">
        <f t="shared" si="3"/>
        <v>357.99999999999994</v>
      </c>
      <c r="D27" s="44">
        <f>'2-Income Statement'!$E$9/12</f>
        <v>53.75</v>
      </c>
      <c r="E27" s="41">
        <v>0</v>
      </c>
      <c r="F27" s="44">
        <f t="shared" si="4"/>
        <v>573</v>
      </c>
      <c r="G27" s="54">
        <f t="shared" si="2"/>
        <v>24639</v>
      </c>
    </row>
    <row r="28" spans="2:8" x14ac:dyDescent="0.2">
      <c r="B28" s="7" t="s">
        <v>51</v>
      </c>
      <c r="C28" s="52">
        <f t="shared" si="3"/>
        <v>357.99999999999994</v>
      </c>
      <c r="D28" s="44">
        <f>'2-Income Statement'!$E$9/12</f>
        <v>53.75</v>
      </c>
      <c r="E28" s="41">
        <v>0</v>
      </c>
      <c r="F28" s="44">
        <f t="shared" si="4"/>
        <v>626.75</v>
      </c>
      <c r="G28" s="54">
        <f t="shared" si="2"/>
        <v>26950.25</v>
      </c>
    </row>
    <row r="29" spans="2:8" x14ac:dyDescent="0.2">
      <c r="B29" s="7" t="s">
        <v>52</v>
      </c>
      <c r="C29" s="52">
        <f t="shared" si="3"/>
        <v>357.99999999999994</v>
      </c>
      <c r="D29" s="44">
        <f>'2-Income Statement'!$E$9/12</f>
        <v>53.75</v>
      </c>
      <c r="E29" s="41">
        <v>0</v>
      </c>
      <c r="F29" s="44">
        <f t="shared" si="4"/>
        <v>680.5</v>
      </c>
      <c r="G29" s="54">
        <f t="shared" si="2"/>
        <v>29261.5</v>
      </c>
    </row>
    <row r="30" spans="2:8" x14ac:dyDescent="0.2">
      <c r="B30" s="7" t="s">
        <v>53</v>
      </c>
      <c r="C30" s="52">
        <f t="shared" si="3"/>
        <v>357.99999999999994</v>
      </c>
      <c r="D30" s="44">
        <f>'2-Income Statement'!$E$9/12</f>
        <v>53.75</v>
      </c>
      <c r="E30" s="41">
        <v>0</v>
      </c>
      <c r="F30" s="44">
        <f t="shared" si="4"/>
        <v>734.25</v>
      </c>
      <c r="G30" s="54">
        <f t="shared" si="2"/>
        <v>31572.75</v>
      </c>
    </row>
    <row r="31" spans="2:8" x14ac:dyDescent="0.2">
      <c r="B31" s="7" t="s">
        <v>54</v>
      </c>
      <c r="C31" s="52">
        <f t="shared" si="3"/>
        <v>357.99999999999994</v>
      </c>
      <c r="D31" s="44">
        <f>'2-Income Statement'!$E$9/12</f>
        <v>53.75</v>
      </c>
      <c r="E31" s="41">
        <v>0</v>
      </c>
      <c r="F31" s="44">
        <f t="shared" si="4"/>
        <v>788</v>
      </c>
      <c r="G31" s="54">
        <f t="shared" si="2"/>
        <v>33884</v>
      </c>
    </row>
    <row r="32" spans="2:8" x14ac:dyDescent="0.2">
      <c r="B32" s="7" t="s">
        <v>55</v>
      </c>
      <c r="C32" s="52">
        <f t="shared" si="3"/>
        <v>357.99999999999994</v>
      </c>
      <c r="D32" s="44">
        <f>'2-Income Statement'!$E$9/12</f>
        <v>53.75</v>
      </c>
      <c r="E32" s="41">
        <v>0</v>
      </c>
      <c r="F32" s="44">
        <f t="shared" si="4"/>
        <v>841.75</v>
      </c>
      <c r="G32" s="54">
        <f t="shared" si="2"/>
        <v>36195.25</v>
      </c>
    </row>
    <row r="33" spans="2:7" x14ac:dyDescent="0.2">
      <c r="B33" s="7" t="s">
        <v>56</v>
      </c>
      <c r="C33" s="52">
        <f t="shared" si="3"/>
        <v>357.99999999999994</v>
      </c>
      <c r="D33" s="44">
        <f>'2-Income Statement'!$E$9/12</f>
        <v>53.75</v>
      </c>
      <c r="E33" s="41">
        <v>0</v>
      </c>
      <c r="F33" s="44">
        <f t="shared" si="4"/>
        <v>895.5</v>
      </c>
      <c r="G33" s="54">
        <f t="shared" si="2"/>
        <v>38506.5</v>
      </c>
    </row>
    <row r="34" spans="2:7" x14ac:dyDescent="0.2">
      <c r="B34" s="7" t="s">
        <v>57</v>
      </c>
      <c r="C34" s="52">
        <f t="shared" si="3"/>
        <v>357.99999999999994</v>
      </c>
      <c r="D34" s="44">
        <f>'2-Income Statement'!$E$9/12</f>
        <v>53.75</v>
      </c>
      <c r="E34" s="41">
        <v>0</v>
      </c>
      <c r="F34" s="44">
        <f t="shared" si="4"/>
        <v>949.25</v>
      </c>
      <c r="G34" s="54">
        <f t="shared" si="2"/>
        <v>40817.75</v>
      </c>
    </row>
    <row r="35" spans="2:7" x14ac:dyDescent="0.2">
      <c r="B35" s="7" t="s">
        <v>58</v>
      </c>
      <c r="C35" s="52">
        <f t="shared" si="3"/>
        <v>357.99999999999994</v>
      </c>
      <c r="D35" s="44">
        <f>'2-Income Statement'!$E$9/12</f>
        <v>53.75</v>
      </c>
      <c r="E35" s="41">
        <v>0</v>
      </c>
      <c r="F35" s="44">
        <f t="shared" si="4"/>
        <v>1003</v>
      </c>
      <c r="G35" s="54">
        <f t="shared" si="2"/>
        <v>43129</v>
      </c>
    </row>
    <row r="36" spans="2:7" x14ac:dyDescent="0.2">
      <c r="B36" s="46" t="s">
        <v>62</v>
      </c>
      <c r="C36" s="47"/>
      <c r="D36" s="51">
        <f>SUM(D24:D35)</f>
        <v>645</v>
      </c>
      <c r="E36" s="60"/>
      <c r="F36" s="51">
        <f>F35</f>
        <v>1003</v>
      </c>
      <c r="G36" s="55">
        <f>SUM(G24:G35)</f>
        <v>365005.5</v>
      </c>
    </row>
    <row r="37" spans="2:7" x14ac:dyDescent="0.2">
      <c r="B37" s="48"/>
      <c r="C37" s="49"/>
      <c r="D37" s="49"/>
      <c r="E37" s="41"/>
      <c r="F37" s="49"/>
      <c r="G37" s="10"/>
    </row>
    <row r="38" spans="2:7" x14ac:dyDescent="0.2">
      <c r="B38" s="39" t="s">
        <v>21</v>
      </c>
      <c r="C38" s="40"/>
      <c r="D38" s="40"/>
      <c r="E38" s="57"/>
      <c r="F38" s="40"/>
      <c r="G38" s="40"/>
    </row>
    <row r="39" spans="2:7" x14ac:dyDescent="0.2">
      <c r="B39" s="8" t="s">
        <v>44</v>
      </c>
    </row>
    <row r="40" spans="2:7" x14ac:dyDescent="0.2">
      <c r="B40" s="7" t="s">
        <v>45</v>
      </c>
      <c r="C40" s="52">
        <f>$F$36</f>
        <v>1003</v>
      </c>
      <c r="D40" s="44">
        <f>'2-Income Statement'!$F$9/12</f>
        <v>129.58333333333334</v>
      </c>
      <c r="E40" s="61">
        <f>(1-'2-Income Statement'!$F$10)^(1/12)-1</f>
        <v>-4.2653187775606449E-3</v>
      </c>
      <c r="F40" s="44">
        <f>C40+D40+C40*E40</f>
        <v>1128.30521859944</v>
      </c>
      <c r="G40" s="54">
        <f t="shared" ref="G40:G51" si="5">F40*43</f>
        <v>48517.124399775916</v>
      </c>
    </row>
    <row r="41" spans="2:7" x14ac:dyDescent="0.2">
      <c r="B41" s="7" t="s">
        <v>46</v>
      </c>
      <c r="C41" s="52">
        <f>C40+C40*E40</f>
        <v>998.72188526610671</v>
      </c>
      <c r="D41" s="44">
        <f>'2-Income Statement'!$F$9/12</f>
        <v>129.58333333333334</v>
      </c>
      <c r="E41" s="61">
        <f>(1-'2-Income Statement'!$F$10)^(1/12)-1</f>
        <v>-4.2653187775606449E-3</v>
      </c>
      <c r="F41" s="44">
        <f>F40+D41+C41*E41</f>
        <v>1253.6286847219869</v>
      </c>
      <c r="G41" s="54">
        <f t="shared" si="5"/>
        <v>53906.033443045439</v>
      </c>
    </row>
    <row r="42" spans="2:7" x14ac:dyDescent="0.2">
      <c r="B42" s="7" t="s">
        <v>49</v>
      </c>
      <c r="C42" s="52">
        <f t="shared" ref="C42:C51" si="6">C41+C41*E41</f>
        <v>994.46201805532041</v>
      </c>
      <c r="D42" s="44">
        <f>'2-Income Statement'!$F$9/12</f>
        <v>129.58333333333334</v>
      </c>
      <c r="E42" s="61">
        <f>(1-'2-Income Statement'!$F$10)^(1/12)-1</f>
        <v>-4.2653187775606449E-3</v>
      </c>
      <c r="F42" s="44">
        <f t="shared" ref="F42:F51" si="7">F41+D42+C42*E42</f>
        <v>1378.9703205361379</v>
      </c>
      <c r="G42" s="54">
        <f t="shared" si="5"/>
        <v>59295.723783053931</v>
      </c>
    </row>
    <row r="43" spans="2:7" x14ac:dyDescent="0.2">
      <c r="B43" s="7" t="s">
        <v>50</v>
      </c>
      <c r="C43" s="52">
        <f t="shared" si="6"/>
        <v>990.22032053613816</v>
      </c>
      <c r="D43" s="44">
        <f>'2-Income Statement'!$F$9/12</f>
        <v>129.58333333333334</v>
      </c>
      <c r="E43" s="61">
        <f>(1-'2-Income Statement'!$F$10)^(1/12)-1</f>
        <v>-4.2653187775606449E-3</v>
      </c>
      <c r="F43" s="44">
        <f t="shared" si="7"/>
        <v>1504.3300485423663</v>
      </c>
      <c r="G43" s="54">
        <f t="shared" si="5"/>
        <v>64686.192087321753</v>
      </c>
    </row>
    <row r="44" spans="2:7" x14ac:dyDescent="0.2">
      <c r="B44" s="7" t="s">
        <v>51</v>
      </c>
      <c r="C44" s="52">
        <f t="shared" si="6"/>
        <v>985.99671520903325</v>
      </c>
      <c r="D44" s="44">
        <f>'2-Income Statement'!$F$9/12</f>
        <v>129.58333333333334</v>
      </c>
      <c r="E44" s="61">
        <f>(1-'2-Income Statement'!$F$10)^(1/12)-1</f>
        <v>-4.2653187775606449E-3</v>
      </c>
      <c r="F44" s="44">
        <f t="shared" si="7"/>
        <v>1629.7077915717052</v>
      </c>
      <c r="G44" s="54">
        <f t="shared" si="5"/>
        <v>70077.435037583331</v>
      </c>
    </row>
    <row r="45" spans="2:7" x14ac:dyDescent="0.2">
      <c r="B45" s="7" t="s">
        <v>52</v>
      </c>
      <c r="C45" s="52">
        <f t="shared" si="6"/>
        <v>981.79112490503906</v>
      </c>
      <c r="D45" s="44">
        <f>'2-Income Statement'!$F$9/12</f>
        <v>129.58333333333334</v>
      </c>
      <c r="E45" s="61">
        <f>(1-'2-Income Statement'!$F$10)^(1/12)-1</f>
        <v>-4.2653187775606449E-3</v>
      </c>
      <c r="F45" s="44">
        <f t="shared" si="7"/>
        <v>1755.1034727843387</v>
      </c>
      <c r="G45" s="54">
        <f t="shared" si="5"/>
        <v>75469.449329726558</v>
      </c>
    </row>
    <row r="46" spans="2:7" x14ac:dyDescent="0.2">
      <c r="B46" s="7" t="s">
        <v>53</v>
      </c>
      <c r="C46" s="52">
        <f t="shared" si="6"/>
        <v>977.60347278433915</v>
      </c>
      <c r="D46" s="44">
        <f>'2-Income Statement'!$F$9/12</f>
        <v>129.58333333333334</v>
      </c>
      <c r="E46" s="61">
        <f>(1-'2-Income Statement'!$F$10)^(1/12)-1</f>
        <v>-4.2653187775606449E-3</v>
      </c>
      <c r="F46" s="44">
        <f t="shared" si="7"/>
        <v>1880.5170156681963</v>
      </c>
      <c r="G46" s="54">
        <f t="shared" si="5"/>
        <v>80862.231673732444</v>
      </c>
    </row>
    <row r="47" spans="2:7" x14ac:dyDescent="0.2">
      <c r="B47" s="7" t="s">
        <v>54</v>
      </c>
      <c r="C47" s="52">
        <f t="shared" si="6"/>
        <v>973.43368233486365</v>
      </c>
      <c r="D47" s="44">
        <f>'2-Income Statement'!$F$9/12</f>
        <v>129.58333333333334</v>
      </c>
      <c r="E47" s="61">
        <f>(1-'2-Income Statement'!$F$10)^(1/12)-1</f>
        <v>-4.2653187775606449E-3</v>
      </c>
      <c r="F47" s="44">
        <f t="shared" si="7"/>
        <v>2005.9483440375568</v>
      </c>
      <c r="G47" s="54">
        <f t="shared" si="5"/>
        <v>86255.77879361494</v>
      </c>
    </row>
    <row r="48" spans="2:7" x14ac:dyDescent="0.2">
      <c r="B48" s="7" t="s">
        <v>55</v>
      </c>
      <c r="C48" s="52">
        <f t="shared" si="6"/>
        <v>969.28167737089075</v>
      </c>
      <c r="D48" s="44">
        <f>'2-Income Statement'!$F$9/12</f>
        <v>129.58333333333334</v>
      </c>
      <c r="E48" s="61">
        <f>(1-'2-Income Statement'!$F$10)^(1/12)-1</f>
        <v>-4.2653187775606449E-3</v>
      </c>
      <c r="F48" s="44">
        <f t="shared" si="7"/>
        <v>2131.3973820316546</v>
      </c>
      <c r="G48" s="54">
        <f t="shared" si="5"/>
        <v>91650.087427361155</v>
      </c>
    </row>
    <row r="49" spans="2:7" x14ac:dyDescent="0.2">
      <c r="B49" s="7" t="s">
        <v>56</v>
      </c>
      <c r="C49" s="52">
        <f t="shared" si="6"/>
        <v>965.14738203165518</v>
      </c>
      <c r="D49" s="44">
        <f>'2-Income Statement'!$F$9/12</f>
        <v>129.58333333333334</v>
      </c>
      <c r="E49" s="61">
        <f>(1-'2-Income Statement'!$F$10)^(1/12)-1</f>
        <v>-4.2653187775606449E-3</v>
      </c>
      <c r="F49" s="44">
        <f t="shared" si="7"/>
        <v>2256.864054113295</v>
      </c>
      <c r="G49" s="54">
        <f t="shared" si="5"/>
        <v>97045.154326871678</v>
      </c>
    </row>
    <row r="50" spans="2:7" x14ac:dyDescent="0.2">
      <c r="B50" s="7" t="s">
        <v>57</v>
      </c>
      <c r="C50" s="52">
        <f t="shared" si="6"/>
        <v>961.03072077996205</v>
      </c>
      <c r="D50" s="44">
        <f>'2-Income Statement'!$F$9/12</f>
        <v>129.58333333333334</v>
      </c>
      <c r="E50" s="61">
        <f>(1-'2-Income Statement'!$F$10)^(1/12)-1</f>
        <v>-4.2653187775606449E-3</v>
      </c>
      <c r="F50" s="44">
        <f t="shared" si="7"/>
        <v>2382.3482850674732</v>
      </c>
      <c r="G50" s="54">
        <f t="shared" si="5"/>
        <v>102440.97625790135</v>
      </c>
    </row>
    <row r="51" spans="2:7" x14ac:dyDescent="0.2">
      <c r="B51" s="7" t="s">
        <v>58</v>
      </c>
      <c r="C51" s="52">
        <f t="shared" si="6"/>
        <v>956.93161840080666</v>
      </c>
      <c r="D51" s="44">
        <f>'2-Income Statement'!$F$9/12</f>
        <v>129.58333333333334</v>
      </c>
      <c r="E51" s="61">
        <f>(1-'2-Income Statement'!$F$10)^(1/12)-1</f>
        <v>-4.2653187775606449E-3</v>
      </c>
      <c r="F51" s="44">
        <f t="shared" si="7"/>
        <v>2507.8500000000004</v>
      </c>
      <c r="G51" s="54">
        <f t="shared" si="5"/>
        <v>107837.55000000002</v>
      </c>
    </row>
    <row r="52" spans="2:7" x14ac:dyDescent="0.2">
      <c r="B52" s="46" t="s">
        <v>63</v>
      </c>
      <c r="C52" s="47"/>
      <c r="D52" s="51">
        <f>SUM(D40:D51)</f>
        <v>1554.9999999999998</v>
      </c>
      <c r="E52" s="60"/>
      <c r="F52" s="51">
        <f>F51</f>
        <v>2507.8500000000004</v>
      </c>
      <c r="G52" s="55">
        <f>SUM(G40:G51)</f>
        <v>938043.7365599887</v>
      </c>
    </row>
    <row r="53" spans="2:7" x14ac:dyDescent="0.2">
      <c r="B53" s="12"/>
      <c r="C53" s="36"/>
      <c r="D53" s="36"/>
      <c r="E53" s="36"/>
      <c r="F53" s="36"/>
      <c r="G53" s="36"/>
    </row>
    <row r="54" spans="2:7" x14ac:dyDescent="0.2">
      <c r="B54" s="39" t="s">
        <v>22</v>
      </c>
      <c r="C54" s="40"/>
      <c r="D54" s="40"/>
      <c r="E54" s="57"/>
      <c r="F54" s="40"/>
      <c r="G54" s="40"/>
    </row>
    <row r="55" spans="2:7" x14ac:dyDescent="0.2">
      <c r="B55" s="8" t="s">
        <v>44</v>
      </c>
    </row>
    <row r="56" spans="2:7" x14ac:dyDescent="0.2">
      <c r="B56" s="7" t="s">
        <v>45</v>
      </c>
      <c r="C56" s="52">
        <f>F52</f>
        <v>2507.8500000000004</v>
      </c>
      <c r="D56" s="44">
        <f>'2-Income Statement'!$G$9/12</f>
        <v>134.75</v>
      </c>
      <c r="E56" s="61">
        <f>(1-'2-Income Statement'!$F$10)^(1/12)-1</f>
        <v>-4.2653187775606449E-3</v>
      </c>
      <c r="F56" s="44">
        <f>C56+C56*E56+D56</f>
        <v>2631.903220303695</v>
      </c>
      <c r="G56" s="54">
        <f t="shared" ref="G56:G67" si="8">F56*43</f>
        <v>113171.83847305889</v>
      </c>
    </row>
    <row r="57" spans="2:7" x14ac:dyDescent="0.2">
      <c r="B57" s="7" t="s">
        <v>46</v>
      </c>
      <c r="C57" s="52">
        <f>C56+C56*E57</f>
        <v>2497.153220303695</v>
      </c>
      <c r="D57" s="44">
        <f>'2-Income Statement'!$G$9/12</f>
        <v>134.75</v>
      </c>
      <c r="E57" s="61">
        <f>(1-'2-Income Statement'!$F$10)^(1/12)-1</f>
        <v>-4.2653187775606449E-3</v>
      </c>
      <c r="F57" s="44">
        <f>F56+C57*E57+D57</f>
        <v>2756.0020657826876</v>
      </c>
      <c r="G57" s="54">
        <f t="shared" si="8"/>
        <v>118508.08882865557</v>
      </c>
    </row>
    <row r="58" spans="2:7" x14ac:dyDescent="0.2">
      <c r="B58" s="7" t="s">
        <v>49</v>
      </c>
      <c r="C58" s="52">
        <f t="shared" ref="C58:C67" si="9">C57+C57*E58</f>
        <v>2486.5020657826876</v>
      </c>
      <c r="D58" s="44">
        <f>'2-Income Statement'!$G$9/12</f>
        <v>134.75</v>
      </c>
      <c r="E58" s="61">
        <f>(1-'2-Income Statement'!$F$10)^(1/12)-1</f>
        <v>-4.2653187775606449E-3</v>
      </c>
      <c r="F58" s="44">
        <f t="shared" ref="F58:F67" si="10">F57+C58*E58+D58</f>
        <v>2880.1463418310614</v>
      </c>
      <c r="G58" s="54">
        <f t="shared" si="8"/>
        <v>123846.29269873563</v>
      </c>
    </row>
    <row r="59" spans="2:7" x14ac:dyDescent="0.2">
      <c r="B59" s="7" t="s">
        <v>50</v>
      </c>
      <c r="C59" s="52">
        <f t="shared" si="9"/>
        <v>2475.8963418310614</v>
      </c>
      <c r="D59" s="44">
        <f>'2-Income Statement'!$G$9/12</f>
        <v>134.75</v>
      </c>
      <c r="E59" s="61">
        <f>(1-'2-Income Statement'!$F$10)^(1/12)-1</f>
        <v>-4.2653187775606449E-3</v>
      </c>
      <c r="F59" s="44">
        <f t="shared" si="10"/>
        <v>3004.3358546729555</v>
      </c>
      <c r="G59" s="54">
        <f t="shared" si="8"/>
        <v>129186.44175093708</v>
      </c>
    </row>
    <row r="60" spans="2:7" x14ac:dyDescent="0.2">
      <c r="B60" s="7" t="s">
        <v>51</v>
      </c>
      <c r="C60" s="52">
        <f t="shared" si="9"/>
        <v>2465.3358546729555</v>
      </c>
      <c r="D60" s="44">
        <f>'2-Income Statement'!$G$9/12</f>
        <v>134.75</v>
      </c>
      <c r="E60" s="61">
        <f>(1-'2-Income Statement'!$F$10)^(1/12)-1</f>
        <v>-4.2653187775606449E-3</v>
      </c>
      <c r="F60" s="44">
        <f t="shared" si="10"/>
        <v>3128.5704113590255</v>
      </c>
      <c r="G60" s="54">
        <f t="shared" si="8"/>
        <v>134528.5276884381</v>
      </c>
    </row>
    <row r="61" spans="2:7" x14ac:dyDescent="0.2">
      <c r="B61" s="7" t="s">
        <v>52</v>
      </c>
      <c r="C61" s="52">
        <f t="shared" si="9"/>
        <v>2454.8204113590255</v>
      </c>
      <c r="D61" s="44">
        <f>'2-Income Statement'!$G$9/12</f>
        <v>134.75</v>
      </c>
      <c r="E61" s="61">
        <f>(1-'2-Income Statement'!$F$10)^(1/12)-1</f>
        <v>-4.2653187775606449E-3</v>
      </c>
      <c r="F61" s="44">
        <f t="shared" si="10"/>
        <v>3252.8498197629165</v>
      </c>
      <c r="G61" s="54">
        <f t="shared" si="8"/>
        <v>139872.54224980541</v>
      </c>
    </row>
    <row r="62" spans="2:7" x14ac:dyDescent="0.2">
      <c r="B62" s="7" t="s">
        <v>53</v>
      </c>
      <c r="C62" s="52">
        <f t="shared" si="9"/>
        <v>2444.3498197629165</v>
      </c>
      <c r="D62" s="44">
        <f>'2-Income Statement'!$G$9/12</f>
        <v>134.75</v>
      </c>
      <c r="E62" s="61">
        <f>(1-'2-Income Statement'!$F$10)^(1/12)-1</f>
        <v>-4.2653187775606449E-3</v>
      </c>
      <c r="F62" s="44">
        <f t="shared" si="10"/>
        <v>3377.1738885777545</v>
      </c>
      <c r="G62" s="54">
        <f t="shared" si="8"/>
        <v>145218.47720884345</v>
      </c>
    </row>
    <row r="63" spans="2:7" x14ac:dyDescent="0.2">
      <c r="B63" s="7" t="s">
        <v>54</v>
      </c>
      <c r="C63" s="52">
        <f t="shared" si="9"/>
        <v>2433.9238885777545</v>
      </c>
      <c r="D63" s="44">
        <f>'2-Income Statement'!$G$9/12</f>
        <v>134.75</v>
      </c>
      <c r="E63" s="61">
        <f>(1-'2-Income Statement'!$F$10)^(1/12)-1</f>
        <v>-4.2653187775606449E-3</v>
      </c>
      <c r="F63" s="44">
        <f t="shared" si="10"/>
        <v>3501.5424273126505</v>
      </c>
      <c r="G63" s="54">
        <f t="shared" si="8"/>
        <v>150566.32437444397</v>
      </c>
    </row>
    <row r="64" spans="2:7" x14ac:dyDescent="0.2">
      <c r="B64" s="7" t="s">
        <v>55</v>
      </c>
      <c r="C64" s="52">
        <f t="shared" si="9"/>
        <v>2423.5424273126505</v>
      </c>
      <c r="D64" s="44">
        <f>'2-Income Statement'!$G$9/12</f>
        <v>134.75</v>
      </c>
      <c r="E64" s="61">
        <f>(1-'2-Income Statement'!$F$10)^(1/12)-1</f>
        <v>-4.2653187775606449E-3</v>
      </c>
      <c r="F64" s="44">
        <f t="shared" si="10"/>
        <v>3625.9552462892188</v>
      </c>
      <c r="G64" s="54">
        <f t="shared" si="8"/>
        <v>155916.07559043641</v>
      </c>
    </row>
    <row r="65" spans="2:7" x14ac:dyDescent="0.2">
      <c r="B65" s="7" t="s">
        <v>56</v>
      </c>
      <c r="C65" s="52">
        <f t="shared" si="9"/>
        <v>2413.2052462892188</v>
      </c>
      <c r="D65" s="44">
        <f>'2-Income Statement'!$G$9/12</f>
        <v>134.75</v>
      </c>
      <c r="E65" s="61">
        <f>(1-'2-Income Statement'!$F$10)^(1/12)-1</f>
        <v>-4.2653187775606449E-3</v>
      </c>
      <c r="F65" s="44">
        <f t="shared" si="10"/>
        <v>3750.4121566381136</v>
      </c>
      <c r="G65" s="54">
        <f t="shared" si="8"/>
        <v>161267.72273543887</v>
      </c>
    </row>
    <row r="66" spans="2:7" x14ac:dyDescent="0.2">
      <c r="B66" s="7" t="s">
        <v>57</v>
      </c>
      <c r="C66" s="52">
        <f t="shared" si="9"/>
        <v>2402.9121566381136</v>
      </c>
      <c r="D66" s="44">
        <f>'2-Income Statement'!$G$9/12</f>
        <v>134.75</v>
      </c>
      <c r="E66" s="61">
        <f>(1-'2-Income Statement'!$F$10)^(1/12)-1</f>
        <v>-4.2653187775606449E-3</v>
      </c>
      <c r="F66" s="44">
        <f t="shared" si="10"/>
        <v>3874.9129702955765</v>
      </c>
      <c r="G66" s="54">
        <f t="shared" si="8"/>
        <v>166621.25772270979</v>
      </c>
    </row>
    <row r="67" spans="2:7" x14ac:dyDescent="0.2">
      <c r="B67" s="7" t="s">
        <v>58</v>
      </c>
      <c r="C67" s="52">
        <f t="shared" si="9"/>
        <v>2392.6629702955765</v>
      </c>
      <c r="D67" s="44">
        <f>'2-Income Statement'!$G$9/12</f>
        <v>134.75</v>
      </c>
      <c r="E67" s="61">
        <f>(1-'2-Income Statement'!$F$10)^(1/12)-1</f>
        <v>-4.2653187775606449E-3</v>
      </c>
      <c r="F67" s="44">
        <f t="shared" si="10"/>
        <v>3999.4575000000009</v>
      </c>
      <c r="G67" s="54">
        <f t="shared" si="8"/>
        <v>171976.67250000004</v>
      </c>
    </row>
    <row r="68" spans="2:7" x14ac:dyDescent="0.2">
      <c r="B68" s="46" t="s">
        <v>64</v>
      </c>
      <c r="C68" s="47"/>
      <c r="D68" s="51">
        <f>SUM(D56:D67)</f>
        <v>1617</v>
      </c>
      <c r="E68" s="60"/>
      <c r="F68" s="51">
        <f>F67</f>
        <v>3999.4575000000009</v>
      </c>
      <c r="G68" s="55">
        <f>SUM(G56:G67)</f>
        <v>1710680.2618215033</v>
      </c>
    </row>
    <row r="70" spans="2:7" x14ac:dyDescent="0.2">
      <c r="B70" s="39" t="s">
        <v>23</v>
      </c>
      <c r="C70" s="40"/>
      <c r="D70" s="40"/>
      <c r="E70" s="57"/>
      <c r="F70" s="40"/>
      <c r="G70" s="40"/>
    </row>
    <row r="71" spans="2:7" x14ac:dyDescent="0.2">
      <c r="B71" s="8" t="s">
        <v>44</v>
      </c>
    </row>
    <row r="72" spans="2:7" x14ac:dyDescent="0.2">
      <c r="B72" s="7" t="s">
        <v>45</v>
      </c>
      <c r="C72" s="52">
        <f>F68</f>
        <v>3999.4575000000009</v>
      </c>
      <c r="D72" s="44">
        <f>'2-Income Statement'!$H$9/12</f>
        <v>184.41666666666666</v>
      </c>
      <c r="E72" s="61">
        <f>(1-'2-Income Statement'!$F$10)^(1/12)-1</f>
        <v>-4.2653187775606449E-3</v>
      </c>
      <c r="F72" s="44">
        <f>C72+D72+C72*E72</f>
        <v>4166.8152054918619</v>
      </c>
      <c r="G72" s="54">
        <f t="shared" ref="G72:G83" si="11">F72*43</f>
        <v>179173.05383615007</v>
      </c>
    </row>
    <row r="73" spans="2:7" x14ac:dyDescent="0.2">
      <c r="B73" s="7" t="s">
        <v>46</v>
      </c>
      <c r="C73" s="52">
        <f>C72+C72*E72</f>
        <v>3982.3985388251949</v>
      </c>
      <c r="D73" s="44">
        <f>'2-Income Statement'!$H$9/12</f>
        <v>184.41666666666666</v>
      </c>
      <c r="E73" s="61">
        <f>(1-'2-Income Statement'!$F$10)^(1/12)-1</f>
        <v>-4.2653187775606449E-3</v>
      </c>
      <c r="F73" s="44">
        <f>F72+D73+C73*E73</f>
        <v>4334.2456728911475</v>
      </c>
      <c r="G73" s="54">
        <f t="shared" si="11"/>
        <v>186372.56393431933</v>
      </c>
    </row>
    <row r="74" spans="2:7" x14ac:dyDescent="0.2">
      <c r="B74" s="7" t="s">
        <v>49</v>
      </c>
      <c r="C74" s="52">
        <f t="shared" ref="C74:C83" si="12">C73+C73*E73</f>
        <v>3965.4123395578135</v>
      </c>
      <c r="D74" s="44">
        <f>'2-Income Statement'!$H$9/12</f>
        <v>184.41666666666666</v>
      </c>
      <c r="E74" s="61">
        <f>(1-'2-Income Statement'!$F$10)^(1/12)-1</f>
        <v>-4.2653187775606449E-3</v>
      </c>
      <c r="F74" s="44">
        <f t="shared" ref="F74:F83" si="13">F73+D74+C74*E74</f>
        <v>4501.7485918451275</v>
      </c>
      <c r="G74" s="54">
        <f t="shared" si="11"/>
        <v>193575.18944934048</v>
      </c>
    </row>
    <row r="75" spans="2:7" x14ac:dyDescent="0.2">
      <c r="B75" s="7" t="s">
        <v>50</v>
      </c>
      <c r="C75" s="52">
        <f t="shared" si="12"/>
        <v>3948.4985918451271</v>
      </c>
      <c r="D75" s="44">
        <f>'2-Income Statement'!$H$9/12</f>
        <v>184.41666666666666</v>
      </c>
      <c r="E75" s="61">
        <f>(1-'2-Income Statement'!$F$10)^(1/12)-1</f>
        <v>-4.2653187775606449E-3</v>
      </c>
      <c r="F75" s="44">
        <f t="shared" si="13"/>
        <v>4669.3236533248255</v>
      </c>
      <c r="G75" s="54">
        <f t="shared" si="11"/>
        <v>200780.91709296749</v>
      </c>
    </row>
    <row r="76" spans="2:7" x14ac:dyDescent="0.2">
      <c r="B76" s="7" t="s">
        <v>51</v>
      </c>
      <c r="C76" s="52">
        <f t="shared" si="12"/>
        <v>3931.6569866581581</v>
      </c>
      <c r="D76" s="44">
        <f>'2-Income Statement'!$H$9/12</f>
        <v>184.41666666666666</v>
      </c>
      <c r="E76" s="61">
        <f>(1-'2-Income Statement'!$F$10)^(1/12)-1</f>
        <v>-4.2653187775606449E-3</v>
      </c>
      <c r="F76" s="44">
        <f t="shared" si="13"/>
        <v>4836.9705496193719</v>
      </c>
      <c r="G76" s="54">
        <f t="shared" si="11"/>
        <v>207989.733633633</v>
      </c>
    </row>
    <row r="77" spans="2:7" x14ac:dyDescent="0.2">
      <c r="B77" s="7" t="s">
        <v>52</v>
      </c>
      <c r="C77" s="52">
        <f t="shared" si="12"/>
        <v>3914.8872162860375</v>
      </c>
      <c r="D77" s="44">
        <f>'2-Income Statement'!$H$9/12</f>
        <v>184.41666666666666</v>
      </c>
      <c r="E77" s="61">
        <f>(1-'2-Income Statement'!$F$10)^(1/12)-1</f>
        <v>-4.2653187775606449E-3</v>
      </c>
      <c r="F77" s="44">
        <f t="shared" si="13"/>
        <v>5004.6889743303818</v>
      </c>
      <c r="G77" s="54">
        <f t="shared" si="11"/>
        <v>215201.62589620642</v>
      </c>
    </row>
    <row r="78" spans="2:7" x14ac:dyDescent="0.2">
      <c r="B78" s="7" t="s">
        <v>53</v>
      </c>
      <c r="C78" s="52">
        <f t="shared" si="12"/>
        <v>3898.1889743303805</v>
      </c>
      <c r="D78" s="44">
        <f>'2-Income Statement'!$H$9/12</f>
        <v>184.41666666666666</v>
      </c>
      <c r="E78" s="61">
        <f>(1-'2-Income Statement'!$F$10)^(1/12)-1</f>
        <v>-4.2653187775606449E-3</v>
      </c>
      <c r="F78" s="44">
        <f t="shared" si="13"/>
        <v>5172.4786223663577</v>
      </c>
      <c r="G78" s="54">
        <f t="shared" si="11"/>
        <v>222416.58076175337</v>
      </c>
    </row>
    <row r="79" spans="2:7" x14ac:dyDescent="0.2">
      <c r="B79" s="7" t="s">
        <v>54</v>
      </c>
      <c r="C79" s="52">
        <f t="shared" si="12"/>
        <v>3881.5619556996894</v>
      </c>
      <c r="D79" s="44">
        <f>'2-Income Statement'!$H$9/12</f>
        <v>184.41666666666666</v>
      </c>
      <c r="E79" s="61">
        <f>(1-'2-Income Statement'!$F$10)^(1/12)-1</f>
        <v>-4.2653187775606449E-3</v>
      </c>
      <c r="F79" s="44">
        <f t="shared" si="13"/>
        <v>5340.3391899371136</v>
      </c>
      <c r="G79" s="54">
        <f t="shared" si="11"/>
        <v>229634.58516729588</v>
      </c>
    </row>
    <row r="80" spans="2:7" x14ac:dyDescent="0.2">
      <c r="B80" s="7" t="s">
        <v>55</v>
      </c>
      <c r="C80" s="52">
        <f t="shared" si="12"/>
        <v>3865.0058566037783</v>
      </c>
      <c r="D80" s="44">
        <f>'2-Income Statement'!$H$9/12</f>
        <v>184.41666666666666</v>
      </c>
      <c r="E80" s="61">
        <f>(1-'2-Income Statement'!$F$10)^(1/12)-1</f>
        <v>-4.2653187775606449E-3</v>
      </c>
      <c r="F80" s="44">
        <f t="shared" si="13"/>
        <v>5508.2703745482268</v>
      </c>
      <c r="G80" s="54">
        <f t="shared" si="11"/>
        <v>236855.62610557376</v>
      </c>
    </row>
    <row r="81" spans="2:7" x14ac:dyDescent="0.2">
      <c r="B81" s="7" t="s">
        <v>56</v>
      </c>
      <c r="C81" s="52">
        <f t="shared" si="12"/>
        <v>3848.5203745482245</v>
      </c>
      <c r="D81" s="44">
        <f>'2-Income Statement'!$H$9/12</f>
        <v>184.41666666666666</v>
      </c>
      <c r="E81" s="61">
        <f>(1-'2-Income Statement'!$F$10)^(1/12)-1</f>
        <v>-4.2653187775606449E-3</v>
      </c>
      <c r="F81" s="44">
        <f t="shared" si="13"/>
        <v>5676.2718749955084</v>
      </c>
      <c r="G81" s="54">
        <f t="shared" si="11"/>
        <v>244079.69062480686</v>
      </c>
    </row>
    <row r="82" spans="2:7" x14ac:dyDescent="0.2">
      <c r="B82" s="7" t="s">
        <v>57</v>
      </c>
      <c r="C82" s="52">
        <f t="shared" si="12"/>
        <v>3832.1052083288391</v>
      </c>
      <c r="D82" s="44">
        <f>'2-Income Statement'!$H$9/12</f>
        <v>184.41666666666666</v>
      </c>
      <c r="E82" s="61">
        <f>(1-'2-Income Statement'!$F$10)^(1/12)-1</f>
        <v>-4.2653187775606449E-3</v>
      </c>
      <c r="F82" s="44">
        <f t="shared" si="13"/>
        <v>5844.3433913595027</v>
      </c>
      <c r="G82" s="54">
        <f t="shared" si="11"/>
        <v>251306.76582845862</v>
      </c>
    </row>
    <row r="83" spans="2:7" x14ac:dyDescent="0.2">
      <c r="B83" s="7" t="s">
        <v>58</v>
      </c>
      <c r="C83" s="52">
        <f t="shared" si="12"/>
        <v>3815.760058026166</v>
      </c>
      <c r="D83" s="44">
        <f>'2-Income Statement'!$H$9/12</f>
        <v>184.41666666666666</v>
      </c>
      <c r="E83" s="61">
        <f>(1-'2-Income Statement'!$F$10)^(1/12)-1</f>
        <v>-4.2653187775606449E-3</v>
      </c>
      <c r="F83" s="44">
        <f t="shared" si="13"/>
        <v>6012.4846250000046</v>
      </c>
      <c r="G83" s="54">
        <f t="shared" si="11"/>
        <v>258536.83887500019</v>
      </c>
    </row>
    <row r="84" spans="2:7" x14ac:dyDescent="0.2">
      <c r="B84" s="46" t="s">
        <v>65</v>
      </c>
      <c r="C84" s="47"/>
      <c r="D84" s="51">
        <f>SUM(D72:D83)</f>
        <v>2213.0000000000005</v>
      </c>
      <c r="E84" s="60"/>
      <c r="F84" s="51">
        <f>F83</f>
        <v>6012.4846250000046</v>
      </c>
      <c r="G84" s="55">
        <f>SUM(G72:G83)</f>
        <v>2625923.1712055053</v>
      </c>
    </row>
    <row r="86" spans="2:7" ht="16" thickBot="1" x14ac:dyDescent="0.25">
      <c r="B86" s="107" t="s">
        <v>140</v>
      </c>
      <c r="C86" s="108"/>
      <c r="D86" s="108"/>
      <c r="E86" s="109"/>
      <c r="F86" s="108"/>
      <c r="G86" s="106">
        <f>G20+G36+G52+G68+G84</f>
        <v>5739713.6695869975</v>
      </c>
    </row>
    <row r="87" spans="2:7" x14ac:dyDescent="0.2">
      <c r="B87" s="8"/>
    </row>
    <row r="88" spans="2:7" x14ac:dyDescent="0.2">
      <c r="B88" s="210"/>
      <c r="C88" s="210"/>
      <c r="D88" s="210"/>
      <c r="E88" s="210"/>
      <c r="F88" s="210"/>
      <c r="G88" s="210"/>
    </row>
    <row r="89" spans="2:7" x14ac:dyDescent="0.2">
      <c r="B89" s="48"/>
    </row>
    <row r="90" spans="2:7" x14ac:dyDescent="0.2">
      <c r="B90" s="8"/>
    </row>
    <row r="91" spans="2:7" x14ac:dyDescent="0.2">
      <c r="B91" s="7"/>
      <c r="C91" s="194"/>
      <c r="D91" s="44"/>
      <c r="E91" s="194"/>
      <c r="F91" s="44"/>
      <c r="G91" s="54"/>
    </row>
    <row r="92" spans="2:7" x14ac:dyDescent="0.2">
      <c r="B92" s="7"/>
      <c r="C92" s="194"/>
      <c r="D92" s="44"/>
      <c r="E92" s="194"/>
      <c r="F92" s="44"/>
      <c r="G92" s="54"/>
    </row>
    <row r="93" spans="2:7" x14ac:dyDescent="0.2">
      <c r="B93" s="7"/>
      <c r="C93" s="194"/>
      <c r="D93" s="44"/>
      <c r="E93" s="194"/>
      <c r="F93" s="44"/>
      <c r="G93" s="54"/>
    </row>
    <row r="94" spans="2:7" x14ac:dyDescent="0.2">
      <c r="B94" s="7"/>
      <c r="C94" s="194"/>
      <c r="D94" s="44"/>
      <c r="E94" s="194"/>
      <c r="F94" s="44"/>
      <c r="G94" s="54"/>
    </row>
    <row r="95" spans="2:7" x14ac:dyDescent="0.2">
      <c r="B95" s="7"/>
      <c r="C95" s="194"/>
      <c r="D95" s="44"/>
      <c r="E95" s="194"/>
      <c r="F95" s="44"/>
      <c r="G95" s="54"/>
    </row>
    <row r="96" spans="2:7" x14ac:dyDescent="0.2">
      <c r="B96" s="7"/>
      <c r="C96" s="194"/>
      <c r="D96" s="44"/>
      <c r="E96" s="194"/>
      <c r="F96" s="44"/>
      <c r="G96" s="54"/>
    </row>
    <row r="97" spans="2:7" x14ac:dyDescent="0.2">
      <c r="B97" s="7"/>
      <c r="C97" s="194"/>
      <c r="D97" s="44"/>
      <c r="E97" s="194"/>
      <c r="F97" s="44"/>
      <c r="G97" s="54"/>
    </row>
    <row r="98" spans="2:7" x14ac:dyDescent="0.2">
      <c r="B98" s="7"/>
      <c r="C98" s="194"/>
      <c r="D98" s="44"/>
      <c r="E98" s="194"/>
      <c r="F98" s="44"/>
      <c r="G98" s="54"/>
    </row>
    <row r="99" spans="2:7" x14ac:dyDescent="0.2">
      <c r="B99" s="7"/>
      <c r="C99" s="194"/>
      <c r="D99" s="44"/>
      <c r="E99" s="194"/>
      <c r="F99" s="44"/>
      <c r="G99" s="54"/>
    </row>
    <row r="100" spans="2:7" x14ac:dyDescent="0.2">
      <c r="B100" s="7"/>
      <c r="C100" s="194"/>
      <c r="D100" s="44"/>
      <c r="E100" s="194"/>
      <c r="F100" s="44"/>
      <c r="G100" s="54"/>
    </row>
    <row r="101" spans="2:7" x14ac:dyDescent="0.2">
      <c r="B101" s="7"/>
      <c r="C101" s="194"/>
      <c r="D101" s="44"/>
      <c r="E101" s="194"/>
      <c r="F101" s="44"/>
      <c r="G101" s="54"/>
    </row>
    <row r="102" spans="2:7" x14ac:dyDescent="0.2">
      <c r="B102" s="7"/>
      <c r="C102" s="194"/>
      <c r="D102" s="44"/>
      <c r="E102" s="194"/>
      <c r="F102" s="44"/>
      <c r="G102" s="54"/>
    </row>
    <row r="103" spans="2:7" x14ac:dyDescent="0.2">
      <c r="B103" s="48"/>
      <c r="C103" s="49"/>
      <c r="D103" s="195"/>
      <c r="E103" s="196"/>
      <c r="F103" s="195"/>
      <c r="G103" s="95"/>
    </row>
    <row r="104" spans="2:7" x14ac:dyDescent="0.2">
      <c r="B104" s="12"/>
      <c r="C104" s="36"/>
      <c r="D104" s="36"/>
      <c r="E104" s="36"/>
      <c r="F104" s="36"/>
      <c r="G104" s="36"/>
    </row>
    <row r="105" spans="2:7" x14ac:dyDescent="0.2">
      <c r="B105" s="48"/>
    </row>
    <row r="106" spans="2:7" x14ac:dyDescent="0.2">
      <c r="B106" s="8"/>
    </row>
    <row r="107" spans="2:7" x14ac:dyDescent="0.2">
      <c r="B107" s="7"/>
      <c r="C107" s="197"/>
      <c r="D107" s="44"/>
      <c r="E107" s="194"/>
      <c r="F107" s="44"/>
      <c r="G107" s="54"/>
    </row>
    <row r="108" spans="2:7" x14ac:dyDescent="0.2">
      <c r="B108" s="7"/>
      <c r="C108" s="197"/>
      <c r="D108" s="44"/>
      <c r="E108" s="194"/>
      <c r="F108" s="44"/>
      <c r="G108" s="54"/>
    </row>
    <row r="109" spans="2:7" x14ac:dyDescent="0.2">
      <c r="B109" s="7"/>
      <c r="C109" s="197"/>
      <c r="D109" s="44"/>
      <c r="E109" s="194"/>
      <c r="F109" s="44"/>
      <c r="G109" s="54"/>
    </row>
    <row r="110" spans="2:7" x14ac:dyDescent="0.2">
      <c r="B110" s="7"/>
      <c r="C110" s="197"/>
      <c r="D110" s="44"/>
      <c r="E110" s="194"/>
      <c r="F110" s="44"/>
      <c r="G110" s="54"/>
    </row>
    <row r="111" spans="2:7" x14ac:dyDescent="0.2">
      <c r="B111" s="7"/>
      <c r="C111" s="197"/>
      <c r="D111" s="44"/>
      <c r="E111" s="194"/>
      <c r="F111" s="44"/>
      <c r="G111" s="54"/>
    </row>
    <row r="112" spans="2:7" x14ac:dyDescent="0.2">
      <c r="B112" s="7"/>
      <c r="C112" s="197"/>
      <c r="D112" s="44"/>
      <c r="E112" s="194"/>
      <c r="F112" s="44"/>
      <c r="G112" s="54"/>
    </row>
    <row r="113" spans="2:7" x14ac:dyDescent="0.2">
      <c r="B113" s="7"/>
      <c r="C113" s="197"/>
      <c r="D113" s="44"/>
      <c r="E113" s="194"/>
      <c r="F113" s="44"/>
      <c r="G113" s="54"/>
    </row>
    <row r="114" spans="2:7" x14ac:dyDescent="0.2">
      <c r="B114" s="7"/>
      <c r="C114" s="197"/>
      <c r="D114" s="44"/>
      <c r="E114" s="194"/>
      <c r="F114" s="44"/>
      <c r="G114" s="54"/>
    </row>
    <row r="115" spans="2:7" x14ac:dyDescent="0.2">
      <c r="B115" s="7"/>
      <c r="C115" s="197"/>
      <c r="D115" s="44"/>
      <c r="E115" s="194"/>
      <c r="F115" s="44"/>
      <c r="G115" s="54"/>
    </row>
    <row r="116" spans="2:7" x14ac:dyDescent="0.2">
      <c r="B116" s="7"/>
      <c r="C116" s="197"/>
      <c r="D116" s="44"/>
      <c r="E116" s="194"/>
      <c r="F116" s="44"/>
      <c r="G116" s="54"/>
    </row>
    <row r="117" spans="2:7" x14ac:dyDescent="0.2">
      <c r="B117" s="7"/>
      <c r="C117" s="197"/>
      <c r="D117" s="44"/>
      <c r="E117" s="194"/>
      <c r="F117" s="44"/>
      <c r="G117" s="54"/>
    </row>
    <row r="118" spans="2:7" x14ac:dyDescent="0.2">
      <c r="B118" s="7"/>
      <c r="C118" s="197"/>
      <c r="D118" s="44"/>
      <c r="E118" s="194"/>
      <c r="F118" s="44"/>
      <c r="G118" s="54"/>
    </row>
    <row r="119" spans="2:7" x14ac:dyDescent="0.2">
      <c r="B119" s="48"/>
      <c r="C119" s="49"/>
      <c r="D119" s="195"/>
      <c r="E119" s="196"/>
      <c r="F119" s="195"/>
      <c r="G119" s="95"/>
    </row>
    <row r="121" spans="2:7" x14ac:dyDescent="0.2">
      <c r="B121" s="48"/>
    </row>
    <row r="122" spans="2:7" x14ac:dyDescent="0.2">
      <c r="B122" s="8"/>
    </row>
    <row r="123" spans="2:7" x14ac:dyDescent="0.2">
      <c r="B123" s="7"/>
      <c r="C123" s="197"/>
      <c r="D123" s="44"/>
      <c r="E123" s="194"/>
      <c r="F123" s="44"/>
      <c r="G123" s="54"/>
    </row>
    <row r="124" spans="2:7" x14ac:dyDescent="0.2">
      <c r="B124" s="7"/>
      <c r="C124" s="197"/>
      <c r="D124" s="44"/>
      <c r="E124" s="194"/>
      <c r="F124" s="44"/>
      <c r="G124" s="54"/>
    </row>
    <row r="125" spans="2:7" x14ac:dyDescent="0.2">
      <c r="B125" s="7"/>
      <c r="C125" s="197"/>
      <c r="D125" s="44"/>
      <c r="E125" s="194"/>
      <c r="F125" s="44"/>
      <c r="G125" s="54"/>
    </row>
    <row r="126" spans="2:7" x14ac:dyDescent="0.2">
      <c r="B126" s="7"/>
      <c r="C126" s="197"/>
      <c r="D126" s="44"/>
      <c r="E126" s="194"/>
      <c r="F126" s="44"/>
      <c r="G126" s="54"/>
    </row>
    <row r="127" spans="2:7" x14ac:dyDescent="0.2">
      <c r="B127" s="7"/>
      <c r="C127" s="197"/>
      <c r="D127" s="44"/>
      <c r="E127" s="194"/>
      <c r="F127" s="44"/>
      <c r="G127" s="54"/>
    </row>
    <row r="128" spans="2:7" x14ac:dyDescent="0.2">
      <c r="B128" s="7"/>
      <c r="C128" s="197"/>
      <c r="D128" s="44"/>
      <c r="E128" s="194"/>
      <c r="F128" s="44"/>
      <c r="G128" s="54"/>
    </row>
    <row r="129" spans="2:7" x14ac:dyDescent="0.2">
      <c r="B129" s="7"/>
      <c r="C129" s="197"/>
      <c r="D129" s="44"/>
      <c r="E129" s="194"/>
      <c r="F129" s="44"/>
      <c r="G129" s="54"/>
    </row>
    <row r="130" spans="2:7" x14ac:dyDescent="0.2">
      <c r="B130" s="7"/>
      <c r="C130" s="197"/>
      <c r="D130" s="44"/>
      <c r="E130" s="194"/>
      <c r="F130" s="44"/>
      <c r="G130" s="54"/>
    </row>
    <row r="131" spans="2:7" x14ac:dyDescent="0.2">
      <c r="B131" s="7"/>
      <c r="C131" s="197"/>
      <c r="D131" s="44"/>
      <c r="E131" s="194"/>
      <c r="F131" s="44"/>
      <c r="G131" s="54"/>
    </row>
    <row r="132" spans="2:7" x14ac:dyDescent="0.2">
      <c r="B132" s="7"/>
      <c r="C132" s="197"/>
      <c r="D132" s="44"/>
      <c r="E132" s="194"/>
      <c r="F132" s="44"/>
      <c r="G132" s="54"/>
    </row>
    <row r="133" spans="2:7" x14ac:dyDescent="0.2">
      <c r="B133" s="7"/>
      <c r="C133" s="197"/>
      <c r="D133" s="44"/>
      <c r="E133" s="194"/>
      <c r="F133" s="44"/>
      <c r="G133" s="54"/>
    </row>
    <row r="134" spans="2:7" x14ac:dyDescent="0.2">
      <c r="B134" s="7"/>
      <c r="C134" s="197"/>
      <c r="D134" s="44"/>
      <c r="E134" s="194"/>
      <c r="F134" s="44"/>
      <c r="G134" s="54"/>
    </row>
    <row r="135" spans="2:7" x14ac:dyDescent="0.2">
      <c r="B135" s="48"/>
      <c r="C135" s="49"/>
      <c r="D135" s="195"/>
      <c r="E135" s="196"/>
      <c r="F135" s="195"/>
      <c r="G135" s="95"/>
    </row>
    <row r="137" spans="2:7" x14ac:dyDescent="0.2">
      <c r="B137" s="48"/>
      <c r="G137" s="30"/>
    </row>
    <row r="139" spans="2:7" x14ac:dyDescent="0.2">
      <c r="B139" s="48"/>
      <c r="G139" s="30"/>
    </row>
  </sheetData>
  <mergeCells count="3">
    <mergeCell ref="B2:G2"/>
    <mergeCell ref="B5:G5"/>
    <mergeCell ref="B88:G88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73C7-6F11-AB4C-B9F1-E3E5D52FAE40}">
  <dimension ref="B2:K30"/>
  <sheetViews>
    <sheetView showGridLines="0" zoomScale="118" zoomScaleNormal="100" workbookViewId="0">
      <pane ySplit="4" topLeftCell="A5" activePane="bottomLeft" state="frozenSplit"/>
      <selection pane="bottomLeft" activeCell="K13" sqref="K13:K26"/>
    </sheetView>
  </sheetViews>
  <sheetFormatPr baseColWidth="10" defaultColWidth="10.83203125" defaultRowHeight="15" x14ac:dyDescent="0.2"/>
  <cols>
    <col min="1" max="1" width="5.5" style="5" customWidth="1"/>
    <col min="2" max="2" width="53.1640625" style="5" customWidth="1"/>
    <col min="3" max="3" width="4.5" style="18" customWidth="1"/>
    <col min="4" max="4" width="12.5" style="18" customWidth="1"/>
    <col min="5" max="9" width="22.33203125" style="5" customWidth="1"/>
    <col min="10" max="13" width="10.83203125" style="5"/>
    <col min="14" max="14" width="10.83203125" style="5" customWidth="1"/>
    <col min="15" max="16384" width="10.83203125" style="5"/>
  </cols>
  <sheetData>
    <row r="2" spans="2:11" ht="16" customHeight="1" x14ac:dyDescent="0.2">
      <c r="B2" s="211" t="s">
        <v>69</v>
      </c>
      <c r="C2" s="211"/>
      <c r="D2" s="211"/>
      <c r="E2" s="211"/>
      <c r="F2" s="211"/>
      <c r="G2" s="211"/>
      <c r="H2" s="211"/>
      <c r="I2" s="211"/>
    </row>
    <row r="3" spans="2:11" x14ac:dyDescent="0.2">
      <c r="B3" s="63"/>
      <c r="C3" s="62"/>
      <c r="D3" s="62"/>
      <c r="E3" s="64">
        <v>2027</v>
      </c>
      <c r="F3" s="64">
        <v>2028</v>
      </c>
      <c r="G3" s="64">
        <v>2029</v>
      </c>
      <c r="H3" s="64">
        <v>2030</v>
      </c>
      <c r="I3" s="64">
        <v>2031</v>
      </c>
    </row>
    <row r="4" spans="2:11" x14ac:dyDescent="0.2">
      <c r="B4" s="65" t="s">
        <v>0</v>
      </c>
      <c r="C4" s="66" t="s">
        <v>11</v>
      </c>
      <c r="D4" s="66" t="s">
        <v>92</v>
      </c>
      <c r="E4" s="67" t="s">
        <v>19</v>
      </c>
      <c r="F4" s="67" t="s">
        <v>20</v>
      </c>
      <c r="G4" s="67" t="s">
        <v>21</v>
      </c>
      <c r="H4" s="67" t="s">
        <v>22</v>
      </c>
      <c r="I4" s="67" t="s">
        <v>23</v>
      </c>
      <c r="K4" s="5" t="s">
        <v>40</v>
      </c>
    </row>
    <row r="5" spans="2:11" x14ac:dyDescent="0.2">
      <c r="B5" s="68" t="s">
        <v>74</v>
      </c>
      <c r="C5" s="69"/>
      <c r="D5" s="69"/>
      <c r="E5" s="70"/>
      <c r="F5" s="70"/>
      <c r="G5" s="70"/>
      <c r="H5" s="70"/>
      <c r="I5" s="70"/>
    </row>
    <row r="6" spans="2:11" x14ac:dyDescent="0.2">
      <c r="B6" s="8" t="s">
        <v>70</v>
      </c>
    </row>
    <row r="7" spans="2:11" x14ac:dyDescent="0.2">
      <c r="B7" s="7" t="s">
        <v>93</v>
      </c>
      <c r="C7" s="18" t="s">
        <v>10</v>
      </c>
      <c r="E7" s="73">
        <v>1</v>
      </c>
      <c r="F7" s="73">
        <v>1</v>
      </c>
      <c r="G7" s="73">
        <v>1</v>
      </c>
      <c r="H7" s="73">
        <v>1</v>
      </c>
      <c r="I7" s="73">
        <v>1</v>
      </c>
      <c r="K7" s="28"/>
    </row>
    <row r="8" spans="2:11" x14ac:dyDescent="0.2">
      <c r="B8" s="7" t="s">
        <v>94</v>
      </c>
      <c r="C8" s="18" t="s">
        <v>10</v>
      </c>
      <c r="E8" s="73">
        <v>1</v>
      </c>
      <c r="F8" s="73">
        <v>2</v>
      </c>
      <c r="G8" s="73">
        <v>3</v>
      </c>
      <c r="H8" s="73">
        <v>4</v>
      </c>
      <c r="I8" s="73">
        <v>4</v>
      </c>
    </row>
    <row r="9" spans="2:11" x14ac:dyDescent="0.2">
      <c r="B9" s="7" t="s">
        <v>335</v>
      </c>
      <c r="C9" s="18" t="s">
        <v>10</v>
      </c>
      <c r="E9" s="73">
        <v>1</v>
      </c>
      <c r="F9" s="73">
        <v>1</v>
      </c>
      <c r="G9" s="73">
        <v>1</v>
      </c>
      <c r="H9" s="73">
        <v>2</v>
      </c>
      <c r="I9" s="73">
        <v>2</v>
      </c>
    </row>
    <row r="10" spans="2:11" x14ac:dyDescent="0.2">
      <c r="B10" s="7" t="s">
        <v>336</v>
      </c>
      <c r="C10" s="18" t="s">
        <v>10</v>
      </c>
      <c r="E10" s="73">
        <v>0</v>
      </c>
      <c r="F10" s="73">
        <v>1</v>
      </c>
      <c r="G10" s="73">
        <v>2</v>
      </c>
      <c r="H10" s="73">
        <v>3</v>
      </c>
      <c r="I10" s="73">
        <v>4</v>
      </c>
    </row>
    <row r="11" spans="2:11" x14ac:dyDescent="0.2">
      <c r="B11" s="7" t="s">
        <v>512</v>
      </c>
      <c r="C11" s="18" t="s">
        <v>10</v>
      </c>
      <c r="E11" s="73">
        <v>0</v>
      </c>
      <c r="F11" s="73">
        <v>1</v>
      </c>
      <c r="G11" s="73">
        <v>1</v>
      </c>
      <c r="H11" s="73">
        <v>1</v>
      </c>
      <c r="I11" s="73">
        <v>1</v>
      </c>
    </row>
    <row r="12" spans="2:11" x14ac:dyDescent="0.2">
      <c r="B12" s="8" t="s">
        <v>71</v>
      </c>
      <c r="E12" s="74"/>
      <c r="F12" s="74"/>
      <c r="G12" s="74"/>
      <c r="H12" s="74"/>
      <c r="I12" s="74"/>
    </row>
    <row r="13" spans="2:11" x14ac:dyDescent="0.2">
      <c r="B13" s="7" t="s">
        <v>142</v>
      </c>
      <c r="C13" s="18" t="s">
        <v>10</v>
      </c>
      <c r="E13" s="73">
        <v>1</v>
      </c>
      <c r="F13" s="73">
        <v>2</v>
      </c>
      <c r="G13" s="73">
        <v>3</v>
      </c>
      <c r="H13" s="73">
        <v>3</v>
      </c>
      <c r="I13" s="73">
        <v>4</v>
      </c>
      <c r="K13" s="5" t="s">
        <v>80</v>
      </c>
    </row>
    <row r="14" spans="2:11" x14ac:dyDescent="0.2">
      <c r="B14" s="8" t="s">
        <v>72</v>
      </c>
      <c r="E14" s="74"/>
      <c r="F14" s="74"/>
      <c r="G14" s="74"/>
      <c r="H14" s="74"/>
      <c r="I14" s="74"/>
    </row>
    <row r="15" spans="2:11" x14ac:dyDescent="0.2">
      <c r="B15" s="7" t="s">
        <v>143</v>
      </c>
      <c r="C15" s="18" t="s">
        <v>10</v>
      </c>
      <c r="E15" s="75">
        <v>1</v>
      </c>
      <c r="F15" s="75">
        <v>2</v>
      </c>
      <c r="G15" s="75">
        <v>2</v>
      </c>
      <c r="H15" s="75">
        <v>3</v>
      </c>
      <c r="I15" s="75">
        <v>4</v>
      </c>
    </row>
    <row r="16" spans="2:11" x14ac:dyDescent="0.2">
      <c r="B16" s="45" t="s">
        <v>32</v>
      </c>
      <c r="C16" s="77" t="s">
        <v>10</v>
      </c>
      <c r="D16" s="77"/>
      <c r="E16" s="78">
        <f>SUM(E7:E15)</f>
        <v>5</v>
      </c>
      <c r="F16" s="78">
        <f>SUM(F7:F15)</f>
        <v>10</v>
      </c>
      <c r="G16" s="78">
        <f>SUM(G7:G15)</f>
        <v>13</v>
      </c>
      <c r="H16" s="78">
        <f>SUM(H7:H15)</f>
        <v>17</v>
      </c>
      <c r="I16" s="78">
        <f>SUM(I7:I15)</f>
        <v>20</v>
      </c>
    </row>
    <row r="17" spans="2:11" x14ac:dyDescent="0.2">
      <c r="B17" s="68" t="s">
        <v>5</v>
      </c>
      <c r="C17" s="69"/>
      <c r="D17" s="69"/>
      <c r="E17" s="70"/>
      <c r="F17" s="70"/>
      <c r="G17" s="70"/>
      <c r="H17" s="70"/>
      <c r="I17" s="70"/>
    </row>
    <row r="18" spans="2:11" x14ac:dyDescent="0.2">
      <c r="B18" s="8" t="s">
        <v>70</v>
      </c>
    </row>
    <row r="19" spans="2:11" x14ac:dyDescent="0.2">
      <c r="B19" s="7" t="s">
        <v>76</v>
      </c>
      <c r="C19" s="18" t="s">
        <v>13</v>
      </c>
      <c r="D19" s="90">
        <v>3000</v>
      </c>
      <c r="E19" s="76">
        <f>D19*E7*12</f>
        <v>36000</v>
      </c>
      <c r="F19" s="76">
        <f t="shared" ref="F19:I21" si="0">E19*105%/E7*F7</f>
        <v>37800</v>
      </c>
      <c r="G19" s="76">
        <f t="shared" si="0"/>
        <v>39690</v>
      </c>
      <c r="H19" s="76">
        <f t="shared" si="0"/>
        <v>41674.5</v>
      </c>
      <c r="I19" s="76">
        <f t="shared" si="0"/>
        <v>43758.224999999999</v>
      </c>
      <c r="K19" s="5" t="s">
        <v>91</v>
      </c>
    </row>
    <row r="20" spans="2:11" x14ac:dyDescent="0.2">
      <c r="B20" s="7" t="s">
        <v>77</v>
      </c>
      <c r="C20" s="18" t="s">
        <v>13</v>
      </c>
      <c r="D20" s="90">
        <v>3000</v>
      </c>
      <c r="E20" s="76">
        <f>D20*E8*12</f>
        <v>36000</v>
      </c>
      <c r="F20" s="76">
        <f t="shared" si="0"/>
        <v>75600</v>
      </c>
      <c r="G20" s="76">
        <f t="shared" si="0"/>
        <v>119070</v>
      </c>
      <c r="H20" s="76">
        <f t="shared" si="0"/>
        <v>166698</v>
      </c>
      <c r="I20" s="76">
        <f t="shared" si="0"/>
        <v>175032.9</v>
      </c>
    </row>
    <row r="21" spans="2:11" x14ac:dyDescent="0.2">
      <c r="B21" s="7" t="s">
        <v>337</v>
      </c>
      <c r="C21" s="18" t="s">
        <v>13</v>
      </c>
      <c r="D21" s="90">
        <v>4000</v>
      </c>
      <c r="E21" s="76">
        <f>D21*E9*12</f>
        <v>48000</v>
      </c>
      <c r="F21" s="76">
        <f t="shared" si="0"/>
        <v>50400</v>
      </c>
      <c r="G21" s="76">
        <f t="shared" si="0"/>
        <v>52920</v>
      </c>
      <c r="H21" s="76">
        <f t="shared" si="0"/>
        <v>111132</v>
      </c>
      <c r="I21" s="76">
        <f t="shared" si="0"/>
        <v>116688.6</v>
      </c>
    </row>
    <row r="22" spans="2:11" x14ac:dyDescent="0.2">
      <c r="B22" s="7" t="s">
        <v>338</v>
      </c>
      <c r="C22" s="18" t="s">
        <v>13</v>
      </c>
      <c r="D22" s="90">
        <v>2500</v>
      </c>
      <c r="E22" s="76">
        <f>D22*E10*12</f>
        <v>0</v>
      </c>
      <c r="F22" s="76">
        <f>F10*D22*12</f>
        <v>30000</v>
      </c>
      <c r="G22" s="76">
        <f t="shared" ref="G22:I23" si="1">F22*105%/F10*G10</f>
        <v>63000</v>
      </c>
      <c r="H22" s="76">
        <f t="shared" si="1"/>
        <v>99225</v>
      </c>
      <c r="I22" s="76">
        <f t="shared" si="1"/>
        <v>138915</v>
      </c>
    </row>
    <row r="23" spans="2:11" x14ac:dyDescent="0.2">
      <c r="B23" s="7" t="s">
        <v>512</v>
      </c>
      <c r="C23" s="18" t="s">
        <v>13</v>
      </c>
      <c r="D23" s="90">
        <v>3000</v>
      </c>
      <c r="E23" s="76">
        <f>E11*D23*12</f>
        <v>0</v>
      </c>
      <c r="F23" s="76">
        <f>F11*D23*12</f>
        <v>36000</v>
      </c>
      <c r="G23" s="76">
        <f t="shared" si="1"/>
        <v>37800</v>
      </c>
      <c r="H23" s="76">
        <f t="shared" si="1"/>
        <v>39690</v>
      </c>
      <c r="I23" s="76">
        <f t="shared" si="1"/>
        <v>41674.5</v>
      </c>
    </row>
    <row r="24" spans="2:11" x14ac:dyDescent="0.2">
      <c r="B24" s="8" t="s">
        <v>71</v>
      </c>
      <c r="D24" s="90"/>
      <c r="E24" s="76"/>
      <c r="F24" s="76"/>
      <c r="G24" s="76"/>
      <c r="H24" s="76"/>
      <c r="I24" s="76"/>
    </row>
    <row r="25" spans="2:11" x14ac:dyDescent="0.2">
      <c r="B25" s="7" t="s">
        <v>95</v>
      </c>
      <c r="C25" s="18" t="s">
        <v>13</v>
      </c>
      <c r="D25" s="90">
        <v>1500</v>
      </c>
      <c r="E25" s="76">
        <f>D25*SUM(E13:E13)*12</f>
        <v>18000</v>
      </c>
      <c r="F25" s="76">
        <f>$D$25*12*SUM(F13:F13)</f>
        <v>36000</v>
      </c>
      <c r="G25" s="76">
        <f>$D$25*12*SUM(G13:G13)</f>
        <v>54000</v>
      </c>
      <c r="H25" s="76">
        <f>$D$25*12*SUM(H13:H13)</f>
        <v>54000</v>
      </c>
      <c r="I25" s="76">
        <f>$D$25*12*SUM(I13:I13)</f>
        <v>72000</v>
      </c>
    </row>
    <row r="26" spans="2:11" x14ac:dyDescent="0.2">
      <c r="B26" s="7" t="s">
        <v>96</v>
      </c>
      <c r="C26" s="18" t="s">
        <v>13</v>
      </c>
      <c r="D26" s="90"/>
      <c r="E26" s="76">
        <f>10%*'2-Income Statement'!D22</f>
        <v>4707.7</v>
      </c>
      <c r="F26" s="76">
        <f>10%*'2-Income Statement'!E22</f>
        <v>8481.75</v>
      </c>
      <c r="G26" s="76">
        <f>10%*'2-Income Statement'!F22</f>
        <v>20448.25</v>
      </c>
      <c r="H26" s="76">
        <f>10%*'2-Income Statement'!G22</f>
        <v>21263.550000000003</v>
      </c>
      <c r="I26" s="76">
        <f>10%*'2-Income Statement'!H22</f>
        <v>29100.95</v>
      </c>
      <c r="K26" s="5" t="s">
        <v>116</v>
      </c>
    </row>
    <row r="27" spans="2:11" x14ac:dyDescent="0.2">
      <c r="B27" s="87" t="s">
        <v>32</v>
      </c>
      <c r="C27" s="88"/>
      <c r="D27" s="91"/>
      <c r="E27" s="89">
        <f>SUM(E25:E26)</f>
        <v>22707.7</v>
      </c>
      <c r="F27" s="89">
        <f t="shared" ref="F27:I27" si="2">SUM(F25:F26)</f>
        <v>44481.75</v>
      </c>
      <c r="G27" s="89">
        <f t="shared" si="2"/>
        <v>74448.25</v>
      </c>
      <c r="H27" s="89">
        <f t="shared" si="2"/>
        <v>75263.55</v>
      </c>
      <c r="I27" s="89">
        <f t="shared" si="2"/>
        <v>101100.95</v>
      </c>
    </row>
    <row r="28" spans="2:11" x14ac:dyDescent="0.2">
      <c r="B28" s="8" t="s">
        <v>72</v>
      </c>
      <c r="D28" s="90"/>
      <c r="E28" s="76"/>
      <c r="F28" s="76"/>
      <c r="G28" s="76"/>
      <c r="H28" s="76"/>
      <c r="I28" s="76"/>
    </row>
    <row r="29" spans="2:11" x14ac:dyDescent="0.2">
      <c r="B29" s="7" t="s">
        <v>73</v>
      </c>
      <c r="C29" s="18" t="s">
        <v>13</v>
      </c>
      <c r="D29" s="90">
        <v>1000</v>
      </c>
      <c r="E29" s="76">
        <f>$D$29*SUM(E15:E15)*12</f>
        <v>12000</v>
      </c>
      <c r="F29" s="76">
        <f>$D$29*SUM(F15:F15)*12</f>
        <v>24000</v>
      </c>
      <c r="G29" s="76">
        <f>$D$29*SUM(G15:G15)*12</f>
        <v>24000</v>
      </c>
      <c r="H29" s="76">
        <f>$D$29*SUM(H15:H15)*12</f>
        <v>36000</v>
      </c>
      <c r="I29" s="76">
        <f>$D$29*SUM(I15:I15)*12</f>
        <v>48000</v>
      </c>
    </row>
    <row r="30" spans="2:11" ht="16" thickBot="1" x14ac:dyDescent="0.25">
      <c r="B30" s="104" t="s">
        <v>75</v>
      </c>
      <c r="C30" s="105" t="s">
        <v>13</v>
      </c>
      <c r="D30" s="105"/>
      <c r="E30" s="106">
        <f>E19+E20+E21+E22+E27+E29+E23</f>
        <v>154707.70000000001</v>
      </c>
      <c r="F30" s="106">
        <f t="shared" ref="F30:I30" si="3">F19+F20+F21+F22+F27+F29+F23</f>
        <v>298281.75</v>
      </c>
      <c r="G30" s="106">
        <f t="shared" si="3"/>
        <v>410928.25</v>
      </c>
      <c r="H30" s="106">
        <f t="shared" si="3"/>
        <v>569683.05000000005</v>
      </c>
      <c r="I30" s="106">
        <f t="shared" si="3"/>
        <v>665170.17499999993</v>
      </c>
    </row>
  </sheetData>
  <mergeCells count="1"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9BBC8-B0A0-644F-8CA8-F47B7A7C88D8}">
  <dimension ref="A1:H25"/>
  <sheetViews>
    <sheetView showGridLines="0" workbookViewId="0">
      <pane ySplit="2" topLeftCell="A3" activePane="bottomLeft" state="frozen"/>
      <selection pane="bottomLeft" activeCell="D23" sqref="D23"/>
    </sheetView>
  </sheetViews>
  <sheetFormatPr baseColWidth="10" defaultRowHeight="16" x14ac:dyDescent="0.2"/>
  <cols>
    <col min="1" max="1" width="6.33203125" customWidth="1"/>
    <col min="2" max="7" width="24.33203125" customWidth="1"/>
    <col min="8" max="8" width="20.33203125" customWidth="1"/>
  </cols>
  <sheetData>
    <row r="1" spans="1:8" ht="19" customHeight="1" x14ac:dyDescent="0.2">
      <c r="A1" s="71"/>
      <c r="B1" s="71"/>
      <c r="C1" s="71"/>
      <c r="D1" s="71"/>
      <c r="E1" s="71"/>
      <c r="F1" s="71"/>
      <c r="G1" s="71"/>
    </row>
    <row r="2" spans="1:8" x14ac:dyDescent="0.2">
      <c r="B2" s="123" t="s">
        <v>24</v>
      </c>
      <c r="C2" s="123" t="s">
        <v>25</v>
      </c>
      <c r="D2" s="123" t="s">
        <v>330</v>
      </c>
      <c r="E2" s="123" t="s">
        <v>331</v>
      </c>
      <c r="F2" s="123" t="s">
        <v>26</v>
      </c>
      <c r="G2" s="123" t="s">
        <v>33</v>
      </c>
      <c r="H2" s="123" t="s">
        <v>332</v>
      </c>
    </row>
    <row r="3" spans="1:8" ht="17" thickBot="1" x14ac:dyDescent="0.25">
      <c r="B3" s="212" t="s">
        <v>135</v>
      </c>
      <c r="C3" s="212"/>
      <c r="D3" s="212"/>
      <c r="E3" s="212"/>
      <c r="F3" s="212"/>
      <c r="G3" s="212"/>
      <c r="H3" s="212"/>
    </row>
    <row r="4" spans="1:8" ht="17" thickTop="1" x14ac:dyDescent="0.2">
      <c r="B4" t="s">
        <v>27</v>
      </c>
      <c r="C4">
        <v>2</v>
      </c>
      <c r="D4">
        <f>'2-Income Statement'!D9</f>
        <v>358</v>
      </c>
      <c r="E4">
        <v>49</v>
      </c>
      <c r="F4" s="24">
        <v>0.15</v>
      </c>
      <c r="G4" s="141">
        <f>D4/E4/F4/C4</f>
        <v>24.353741496598641</v>
      </c>
      <c r="H4" s="141">
        <f>G4*F4*C4</f>
        <v>7.3061224489795915</v>
      </c>
    </row>
    <row r="5" spans="1:8" x14ac:dyDescent="0.2">
      <c r="B5" t="s">
        <v>28</v>
      </c>
      <c r="C5">
        <v>3</v>
      </c>
      <c r="D5">
        <f>'2-Income Statement'!E9</f>
        <v>645</v>
      </c>
      <c r="E5">
        <v>49</v>
      </c>
      <c r="F5" s="24">
        <v>0.2</v>
      </c>
      <c r="G5" s="141">
        <f t="shared" ref="G5:G8" si="0">D5/E5/F5/C5</f>
        <v>21.938775510204081</v>
      </c>
      <c r="H5" s="141">
        <f t="shared" ref="H5:H8" si="1">G5*F5*C5</f>
        <v>13.163265306122447</v>
      </c>
    </row>
    <row r="6" spans="1:8" x14ac:dyDescent="0.2">
      <c r="B6" t="s">
        <v>29</v>
      </c>
      <c r="C6">
        <v>4</v>
      </c>
      <c r="D6">
        <f>'2-Income Statement'!F9</f>
        <v>1555</v>
      </c>
      <c r="E6">
        <v>49</v>
      </c>
      <c r="F6" s="24">
        <v>0.22</v>
      </c>
      <c r="G6" s="141">
        <f t="shared" si="0"/>
        <v>36.062152133580703</v>
      </c>
      <c r="H6" s="141">
        <f t="shared" si="1"/>
        <v>31.73469387755102</v>
      </c>
    </row>
    <row r="7" spans="1:8" x14ac:dyDescent="0.2">
      <c r="B7" t="s">
        <v>30</v>
      </c>
      <c r="C7">
        <v>4</v>
      </c>
      <c r="D7">
        <f>'2-Income Statement'!G9</f>
        <v>1617</v>
      </c>
      <c r="E7">
        <v>49</v>
      </c>
      <c r="F7" s="24">
        <v>0.23</v>
      </c>
      <c r="G7" s="141">
        <f t="shared" si="0"/>
        <v>35.869565217391305</v>
      </c>
      <c r="H7" s="141">
        <f t="shared" si="1"/>
        <v>33</v>
      </c>
    </row>
    <row r="8" spans="1:8" x14ac:dyDescent="0.2">
      <c r="A8" s="72"/>
      <c r="B8" t="s">
        <v>31</v>
      </c>
      <c r="C8">
        <v>5</v>
      </c>
      <c r="D8">
        <f>'2-Income Statement'!H9</f>
        <v>2213</v>
      </c>
      <c r="E8">
        <v>49</v>
      </c>
      <c r="F8" s="24">
        <v>0.25</v>
      </c>
      <c r="G8" s="141">
        <f t="shared" si="0"/>
        <v>36.130612244897961</v>
      </c>
      <c r="H8" s="141">
        <f t="shared" si="1"/>
        <v>45.163265306122454</v>
      </c>
    </row>
    <row r="9" spans="1:8" ht="17" thickBot="1" x14ac:dyDescent="0.25">
      <c r="B9" s="102" t="s">
        <v>32</v>
      </c>
      <c r="C9" s="103"/>
      <c r="D9" s="103"/>
      <c r="E9" s="103"/>
      <c r="F9" s="103"/>
      <c r="G9" s="103"/>
      <c r="H9" s="142">
        <f>SUM(H4:H8)</f>
        <v>130.36734693877551</v>
      </c>
    </row>
    <row r="11" spans="1:8" x14ac:dyDescent="0.2">
      <c r="B11" s="213"/>
      <c r="C11" s="213"/>
      <c r="D11" s="213"/>
      <c r="E11" s="213"/>
      <c r="F11" s="213"/>
      <c r="G11" s="213"/>
      <c r="H11" s="213"/>
    </row>
    <row r="12" spans="1:8" x14ac:dyDescent="0.2">
      <c r="C12" s="198"/>
      <c r="D12" s="198"/>
      <c r="E12" s="198"/>
      <c r="F12" s="198"/>
      <c r="G12" s="198"/>
      <c r="H12" s="198"/>
    </row>
    <row r="13" spans="1:8" x14ac:dyDescent="0.2">
      <c r="C13" s="198"/>
      <c r="D13" s="198"/>
      <c r="E13" s="198"/>
      <c r="F13" s="198"/>
      <c r="G13" s="198"/>
      <c r="H13" s="198"/>
    </row>
    <row r="14" spans="1:8" x14ac:dyDescent="0.2">
      <c r="C14" s="198"/>
      <c r="D14" s="198"/>
      <c r="E14" s="198"/>
      <c r="F14" s="198"/>
      <c r="G14" s="198"/>
    </row>
    <row r="15" spans="1:8" x14ac:dyDescent="0.2">
      <c r="C15" s="198"/>
      <c r="D15" s="198"/>
      <c r="E15" s="198"/>
      <c r="F15" s="198"/>
      <c r="G15" s="198"/>
    </row>
    <row r="16" spans="1:8" x14ac:dyDescent="0.2">
      <c r="C16" s="198"/>
      <c r="D16" s="198"/>
      <c r="E16" s="198"/>
      <c r="F16" s="198"/>
      <c r="G16" s="198"/>
    </row>
    <row r="17" spans="2:8" x14ac:dyDescent="0.2">
      <c r="B17" s="72"/>
      <c r="H17" s="72"/>
    </row>
    <row r="19" spans="2:8" x14ac:dyDescent="0.2">
      <c r="B19" s="213"/>
      <c r="C19" s="213"/>
      <c r="D19" s="213"/>
      <c r="E19" s="213"/>
      <c r="F19" s="213"/>
      <c r="G19" s="213"/>
      <c r="H19" s="213"/>
    </row>
    <row r="20" spans="2:8" x14ac:dyDescent="0.2">
      <c r="C20" s="198"/>
      <c r="D20" s="198"/>
      <c r="E20" s="198"/>
      <c r="F20" s="198"/>
    </row>
    <row r="21" spans="2:8" x14ac:dyDescent="0.2">
      <c r="C21" s="198"/>
      <c r="D21" s="198"/>
      <c r="E21" s="198"/>
      <c r="F21" s="198"/>
    </row>
    <row r="22" spans="2:8" x14ac:dyDescent="0.2">
      <c r="C22" s="198"/>
      <c r="D22" s="198"/>
      <c r="E22" s="198"/>
      <c r="F22" s="198"/>
    </row>
    <row r="23" spans="2:8" x14ac:dyDescent="0.2">
      <c r="C23" s="198"/>
      <c r="D23" s="198"/>
      <c r="E23" s="198"/>
      <c r="F23" s="198"/>
      <c r="G23" s="198"/>
    </row>
    <row r="24" spans="2:8" x14ac:dyDescent="0.2">
      <c r="C24" s="198"/>
      <c r="D24" s="198"/>
      <c r="E24" s="198"/>
      <c r="F24" s="198"/>
      <c r="G24" s="198"/>
    </row>
    <row r="25" spans="2:8" x14ac:dyDescent="0.2">
      <c r="B25" s="72"/>
      <c r="H25" s="72"/>
    </row>
  </sheetData>
  <mergeCells count="3">
    <mergeCell ref="B3:H3"/>
    <mergeCell ref="B11:H11"/>
    <mergeCell ref="B19:H1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0929-B1A6-CB42-A820-1DACC7A23209}">
  <dimension ref="B2:F15"/>
  <sheetViews>
    <sheetView showGridLines="0" zoomScale="102" workbookViewId="0">
      <selection activeCell="E23" sqref="E23"/>
    </sheetView>
  </sheetViews>
  <sheetFormatPr baseColWidth="10" defaultRowHeight="16" x14ac:dyDescent="0.2"/>
  <cols>
    <col min="2" max="6" width="15.6640625" customWidth="1"/>
  </cols>
  <sheetData>
    <row r="2" spans="2:6" ht="17" thickBot="1" x14ac:dyDescent="0.25">
      <c r="B2" s="100" t="s">
        <v>24</v>
      </c>
      <c r="C2" s="100" t="s">
        <v>117</v>
      </c>
      <c r="D2" s="100" t="s">
        <v>119</v>
      </c>
      <c r="E2" s="100" t="s">
        <v>118</v>
      </c>
      <c r="F2" s="100" t="s">
        <v>121</v>
      </c>
    </row>
    <row r="3" spans="2:6" ht="17" thickTop="1" x14ac:dyDescent="0.2">
      <c r="B3">
        <v>0</v>
      </c>
      <c r="C3" s="101">
        <f>-500000</f>
        <v>-500000</v>
      </c>
      <c r="D3" s="24">
        <v>0.2</v>
      </c>
      <c r="E3">
        <f>1/(1+D3)^B3</f>
        <v>1</v>
      </c>
      <c r="F3" s="101">
        <f>C3*E3</f>
        <v>-500000</v>
      </c>
    </row>
    <row r="4" spans="2:6" x14ac:dyDescent="0.2">
      <c r="B4">
        <v>1</v>
      </c>
      <c r="C4" s="101">
        <f>'3-Cash Flow Statement'!C25</f>
        <v>-139102.1164383562</v>
      </c>
      <c r="D4" s="24">
        <v>0.2</v>
      </c>
      <c r="E4">
        <f>1/(1+D4)^B4</f>
        <v>0.83333333333333337</v>
      </c>
      <c r="F4" s="101">
        <f t="shared" ref="F4:F8" si="0">C4*E4</f>
        <v>-115918.43036529684</v>
      </c>
    </row>
    <row r="5" spans="2:6" x14ac:dyDescent="0.2">
      <c r="B5">
        <v>2</v>
      </c>
      <c r="C5" s="101">
        <f>'3-Cash Flow Statement'!D25</f>
        <v>37146.84938356169</v>
      </c>
      <c r="D5" s="24">
        <v>0.2</v>
      </c>
      <c r="E5">
        <f t="shared" ref="E5:E8" si="1">1/(1+D5)^B5</f>
        <v>0.69444444444444442</v>
      </c>
      <c r="F5" s="101">
        <f t="shared" si="0"/>
        <v>25796.42318302895</v>
      </c>
    </row>
    <row r="6" spans="2:6" x14ac:dyDescent="0.2">
      <c r="B6">
        <v>3</v>
      </c>
      <c r="C6" s="101">
        <f>'3-Cash Flow Statement'!E25</f>
        <v>435890.39664736897</v>
      </c>
      <c r="D6" s="24">
        <v>0.2</v>
      </c>
      <c r="E6">
        <f t="shared" si="1"/>
        <v>0.57870370370370372</v>
      </c>
      <c r="F6" s="101">
        <f>C6*E6</f>
        <v>252251.38694870891</v>
      </c>
    </row>
    <row r="7" spans="2:6" x14ac:dyDescent="0.2">
      <c r="B7">
        <v>4</v>
      </c>
      <c r="C7" s="101">
        <f>'3-Cash Flow Statement'!F25</f>
        <v>901170.09930039151</v>
      </c>
      <c r="D7" s="24">
        <v>0.2</v>
      </c>
      <c r="E7">
        <f t="shared" si="1"/>
        <v>0.48225308641975312</v>
      </c>
      <c r="F7" s="101">
        <f>C7*E7</f>
        <v>434592.06177680922</v>
      </c>
    </row>
    <row r="8" spans="2:6" x14ac:dyDescent="0.2">
      <c r="B8">
        <v>5</v>
      </c>
      <c r="C8" s="101">
        <f>'3-Cash Flow Statement'!G25</f>
        <v>1568152.8363710695</v>
      </c>
      <c r="D8" s="24">
        <v>0.2</v>
      </c>
      <c r="E8">
        <f t="shared" si="1"/>
        <v>0.4018775720164609</v>
      </c>
      <c r="F8" s="101">
        <f t="shared" si="0"/>
        <v>630205.45443153195</v>
      </c>
    </row>
    <row r="9" spans="2:6" ht="17" thickBot="1" x14ac:dyDescent="0.25">
      <c r="B9" s="102" t="s">
        <v>120</v>
      </c>
      <c r="C9" s="103"/>
      <c r="D9" s="103"/>
      <c r="E9" s="103"/>
      <c r="F9" s="110">
        <f>SUM(F3:F8)</f>
        <v>726926.8959747823</v>
      </c>
    </row>
    <row r="11" spans="2:6" x14ac:dyDescent="0.2">
      <c r="B11" s="111" t="s">
        <v>579</v>
      </c>
      <c r="C11" s="112">
        <f>IRR(C3:C8)</f>
        <v>0.45808928769161472</v>
      </c>
    </row>
    <row r="13" spans="2:6" x14ac:dyDescent="0.2">
      <c r="B13" s="111" t="s">
        <v>576</v>
      </c>
      <c r="C13" s="206">
        <f>C8*(1+2%)/(20%-2%)</f>
        <v>8886199.4061027262</v>
      </c>
      <c r="E13" s="72" t="s">
        <v>578</v>
      </c>
    </row>
    <row r="14" spans="2:6" x14ac:dyDescent="0.2">
      <c r="B14" s="111" t="s">
        <v>577</v>
      </c>
      <c r="C14" s="206">
        <f>C13/(1+20%)^5</f>
        <v>3571164.2417786806</v>
      </c>
    </row>
    <row r="15" spans="2:6" x14ac:dyDescent="0.2">
      <c r="B15" s="72"/>
      <c r="C15" s="24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E23E-CC87-304C-A628-D9D0146AE47D}">
  <dimension ref="A1:H20"/>
  <sheetViews>
    <sheetView workbookViewId="0">
      <selection activeCell="G24" sqref="G24"/>
    </sheetView>
  </sheetViews>
  <sheetFormatPr baseColWidth="10" defaultRowHeight="16" x14ac:dyDescent="0.2"/>
  <cols>
    <col min="1" max="1" width="24.5" bestFit="1" customWidth="1"/>
    <col min="2" max="2" width="33.83203125" bestFit="1" customWidth="1"/>
  </cols>
  <sheetData>
    <row r="1" spans="1:8" x14ac:dyDescent="0.2">
      <c r="A1" t="s">
        <v>15</v>
      </c>
      <c r="B1" s="22" t="s">
        <v>16</v>
      </c>
    </row>
    <row r="2" spans="1:8" x14ac:dyDescent="0.2">
      <c r="A2" t="s">
        <v>17</v>
      </c>
      <c r="B2" s="22" t="s">
        <v>18</v>
      </c>
    </row>
    <row r="3" spans="1:8" x14ac:dyDescent="0.2">
      <c r="A3" t="s">
        <v>34</v>
      </c>
      <c r="B3" s="22" t="s">
        <v>35</v>
      </c>
    </row>
    <row r="4" spans="1:8" ht="81" customHeight="1" x14ac:dyDescent="0.2">
      <c r="A4" s="27" t="s">
        <v>36</v>
      </c>
      <c r="B4" s="214" t="s">
        <v>39</v>
      </c>
      <c r="C4" s="214"/>
      <c r="D4" s="214"/>
      <c r="E4" s="214"/>
      <c r="F4" s="214"/>
      <c r="G4" s="214"/>
      <c r="H4" s="214"/>
    </row>
    <row r="5" spans="1:8" x14ac:dyDescent="0.2">
      <c r="A5" t="s">
        <v>38</v>
      </c>
      <c r="B5" s="22" t="s">
        <v>37</v>
      </c>
    </row>
    <row r="6" spans="1:8" x14ac:dyDescent="0.2">
      <c r="A6" t="s">
        <v>137</v>
      </c>
    </row>
    <row r="7" spans="1:8" x14ac:dyDescent="0.2">
      <c r="A7" t="s">
        <v>136</v>
      </c>
      <c r="B7" s="22" t="s">
        <v>138</v>
      </c>
    </row>
    <row r="8" spans="1:8" x14ac:dyDescent="0.2">
      <c r="A8" t="s">
        <v>137</v>
      </c>
      <c r="B8" s="22" t="s">
        <v>139</v>
      </c>
    </row>
    <row r="9" spans="1:8" x14ac:dyDescent="0.2">
      <c r="A9" s="111" t="s">
        <v>122</v>
      </c>
      <c r="B9" s="113" t="s">
        <v>123</v>
      </c>
      <c r="C9" t="s">
        <v>131</v>
      </c>
    </row>
    <row r="10" spans="1:8" x14ac:dyDescent="0.2">
      <c r="C10" t="s">
        <v>124</v>
      </c>
    </row>
    <row r="11" spans="1:8" x14ac:dyDescent="0.2">
      <c r="C11" t="s">
        <v>125</v>
      </c>
    </row>
    <row r="12" spans="1:8" x14ac:dyDescent="0.2">
      <c r="C12" t="s">
        <v>126</v>
      </c>
    </row>
    <row r="13" spans="1:8" x14ac:dyDescent="0.2">
      <c r="C13" t="s">
        <v>127</v>
      </c>
    </row>
    <row r="14" spans="1:8" x14ac:dyDescent="0.2">
      <c r="C14" t="s">
        <v>128</v>
      </c>
    </row>
    <row r="15" spans="1:8" x14ac:dyDescent="0.2">
      <c r="C15" t="s">
        <v>129</v>
      </c>
    </row>
    <row r="16" spans="1:8" x14ac:dyDescent="0.2">
      <c r="C16" t="s">
        <v>130</v>
      </c>
    </row>
    <row r="17" spans="1:3" x14ac:dyDescent="0.2">
      <c r="B17" s="114" t="s">
        <v>132</v>
      </c>
      <c r="C17" t="s">
        <v>133</v>
      </c>
    </row>
    <row r="20" spans="1:3" x14ac:dyDescent="0.2">
      <c r="A20" t="s">
        <v>339</v>
      </c>
      <c r="B20" s="22" t="s">
        <v>340</v>
      </c>
    </row>
  </sheetData>
  <mergeCells count="1">
    <mergeCell ref="B4:H4"/>
  </mergeCells>
  <hyperlinks>
    <hyperlink ref="B2" r:id="rId1" xr:uid="{0A664B9A-4E79-1C44-A72A-3E38B0B1EA41}"/>
    <hyperlink ref="B5" r:id="rId2" xr:uid="{D08C2376-23BE-5443-BCCE-A474BDD239F4}"/>
    <hyperlink ref="B3" r:id="rId3" xr:uid="{4BC0AC7E-F2B1-944B-B713-3E6D282AD8CE}"/>
    <hyperlink ref="B4" r:id="rId4" display="https://www.aftygh.gov.tw/english-dep/nursing-home/?utm_source=chatgpt.com" xr:uid="{A1E8A168-15C4-DA44-A0CA-1FA5366B1196}"/>
    <hyperlink ref="B1" r:id="rId5" xr:uid="{FB1CB43D-FA8D-3B4B-8B91-DD8B3BDAD738}"/>
    <hyperlink ref="B7" r:id="rId6" xr:uid="{EF48421E-A677-134A-ADDF-70F3E0BBCB47}"/>
    <hyperlink ref="B8" r:id="rId7" xr:uid="{59707C7B-9F6C-2A48-8ABD-29A11B0DDCBE}"/>
    <hyperlink ref="B20" r:id="rId8" xr:uid="{BA1885E1-4587-CE4A-BD3B-884CEC17DE1D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A0AB-AECA-7F47-B2CB-9804E25AE800}">
  <dimension ref="A1:D75"/>
  <sheetViews>
    <sheetView topLeftCell="A51" zoomScale="115" workbookViewId="0">
      <selection activeCell="D67" sqref="D67"/>
    </sheetView>
  </sheetViews>
  <sheetFormatPr baseColWidth="10" defaultRowHeight="16" x14ac:dyDescent="0.2"/>
  <cols>
    <col min="1" max="1" width="39.1640625" customWidth="1"/>
    <col min="2" max="2" width="39.6640625" customWidth="1"/>
    <col min="3" max="3" width="18.5" bestFit="1" customWidth="1"/>
    <col min="4" max="4" width="31.5" bestFit="1" customWidth="1"/>
  </cols>
  <sheetData>
    <row r="1" spans="1:4" ht="30" x14ac:dyDescent="0.2">
      <c r="A1" s="132" t="s">
        <v>164</v>
      </c>
      <c r="B1" s="132" t="s">
        <v>165</v>
      </c>
      <c r="C1" s="132" t="s">
        <v>166</v>
      </c>
      <c r="D1" s="132" t="s">
        <v>167</v>
      </c>
    </row>
    <row r="2" spans="1:4" x14ac:dyDescent="0.2">
      <c r="A2" s="133" t="s">
        <v>168</v>
      </c>
      <c r="B2" s="133">
        <v>6</v>
      </c>
      <c r="C2" s="133" t="s">
        <v>169</v>
      </c>
      <c r="D2" s="133" t="s">
        <v>170</v>
      </c>
    </row>
    <row r="3" spans="1:4" x14ac:dyDescent="0.2">
      <c r="A3" s="133" t="s">
        <v>171</v>
      </c>
      <c r="B3" s="133">
        <v>10</v>
      </c>
      <c r="C3" s="133" t="s">
        <v>172</v>
      </c>
      <c r="D3" s="133" t="s">
        <v>173</v>
      </c>
    </row>
    <row r="4" spans="1:4" x14ac:dyDescent="0.2">
      <c r="A4" s="133" t="s">
        <v>174</v>
      </c>
      <c r="B4" s="133">
        <v>58</v>
      </c>
      <c r="C4" s="133" t="s">
        <v>175</v>
      </c>
      <c r="D4" s="133" t="s">
        <v>176</v>
      </c>
    </row>
    <row r="5" spans="1:4" x14ac:dyDescent="0.2">
      <c r="A5" s="133" t="s">
        <v>177</v>
      </c>
      <c r="B5" s="133">
        <v>7</v>
      </c>
      <c r="C5" s="133" t="s">
        <v>178</v>
      </c>
      <c r="D5" s="133" t="s">
        <v>179</v>
      </c>
    </row>
    <row r="6" spans="1:4" ht="17" x14ac:dyDescent="0.2">
      <c r="A6" s="134" t="s">
        <v>180</v>
      </c>
      <c r="B6" s="133">
        <v>10</v>
      </c>
      <c r="C6" s="133" t="s">
        <v>181</v>
      </c>
      <c r="D6" s="133" t="s">
        <v>182</v>
      </c>
    </row>
    <row r="7" spans="1:4" x14ac:dyDescent="0.2">
      <c r="A7" s="133" t="s">
        <v>183</v>
      </c>
      <c r="B7" s="133">
        <v>7</v>
      </c>
      <c r="C7" s="133" t="s">
        <v>184</v>
      </c>
      <c r="D7" s="133" t="s">
        <v>185</v>
      </c>
    </row>
    <row r="8" spans="1:4" x14ac:dyDescent="0.2">
      <c r="A8" s="133" t="s">
        <v>186</v>
      </c>
      <c r="B8" s="133">
        <v>6</v>
      </c>
      <c r="C8" s="133" t="s">
        <v>187</v>
      </c>
      <c r="D8" s="133" t="s">
        <v>188</v>
      </c>
    </row>
    <row r="9" spans="1:4" x14ac:dyDescent="0.2">
      <c r="A9" s="133" t="s">
        <v>189</v>
      </c>
      <c r="B9" s="133">
        <v>12</v>
      </c>
      <c r="C9" s="133" t="s">
        <v>190</v>
      </c>
      <c r="D9" s="133" t="s">
        <v>191</v>
      </c>
    </row>
    <row r="10" spans="1:4" x14ac:dyDescent="0.2">
      <c r="A10" s="133" t="s">
        <v>192</v>
      </c>
      <c r="B10" s="133">
        <v>5</v>
      </c>
      <c r="C10" s="133" t="s">
        <v>193</v>
      </c>
      <c r="D10" s="133" t="s">
        <v>194</v>
      </c>
    </row>
    <row r="11" spans="1:4" x14ac:dyDescent="0.2">
      <c r="A11" s="133" t="s">
        <v>195</v>
      </c>
      <c r="B11" s="133">
        <v>5</v>
      </c>
      <c r="C11" s="133" t="s">
        <v>196</v>
      </c>
      <c r="D11" s="133" t="s">
        <v>197</v>
      </c>
    </row>
    <row r="12" spans="1:4" x14ac:dyDescent="0.2">
      <c r="A12" s="133" t="s">
        <v>198</v>
      </c>
      <c r="B12" s="133">
        <v>13</v>
      </c>
      <c r="C12" s="133" t="s">
        <v>199</v>
      </c>
      <c r="D12" s="133" t="s">
        <v>200</v>
      </c>
    </row>
    <row r="13" spans="1:4" x14ac:dyDescent="0.2">
      <c r="A13" s="133" t="s">
        <v>201</v>
      </c>
      <c r="B13" s="133">
        <v>5</v>
      </c>
      <c r="C13" s="133" t="s">
        <v>202</v>
      </c>
      <c r="D13" s="133" t="s">
        <v>203</v>
      </c>
    </row>
    <row r="14" spans="1:4" x14ac:dyDescent="0.2">
      <c r="A14" s="133" t="s">
        <v>204</v>
      </c>
      <c r="B14" s="133">
        <v>8</v>
      </c>
      <c r="C14" s="133" t="s">
        <v>205</v>
      </c>
      <c r="D14" s="133" t="s">
        <v>206</v>
      </c>
    </row>
    <row r="15" spans="1:4" x14ac:dyDescent="0.2">
      <c r="A15" s="133" t="s">
        <v>207</v>
      </c>
      <c r="B15" s="133">
        <v>8</v>
      </c>
      <c r="C15" s="133" t="s">
        <v>208</v>
      </c>
      <c r="D15" s="133" t="s">
        <v>209</v>
      </c>
    </row>
    <row r="16" spans="1:4" ht="17" x14ac:dyDescent="0.2">
      <c r="A16" s="134" t="s">
        <v>210</v>
      </c>
      <c r="B16" s="133">
        <v>5</v>
      </c>
      <c r="C16" s="133" t="s">
        <v>211</v>
      </c>
      <c r="D16" s="133" t="s">
        <v>212</v>
      </c>
    </row>
    <row r="17" spans="1:4" x14ac:dyDescent="0.2">
      <c r="A17" s="133" t="s">
        <v>213</v>
      </c>
      <c r="B17" s="133">
        <v>11</v>
      </c>
      <c r="C17" s="133" t="s">
        <v>214</v>
      </c>
      <c r="D17" s="133" t="s">
        <v>215</v>
      </c>
    </row>
    <row r="18" spans="1:4" ht="17" x14ac:dyDescent="0.2">
      <c r="A18" s="134" t="s">
        <v>216</v>
      </c>
      <c r="B18" s="133">
        <v>8</v>
      </c>
      <c r="C18" s="133" t="s">
        <v>217</v>
      </c>
      <c r="D18" s="133" t="s">
        <v>218</v>
      </c>
    </row>
    <row r="19" spans="1:4" ht="17" x14ac:dyDescent="0.2">
      <c r="A19" s="134" t="s">
        <v>219</v>
      </c>
      <c r="B19" s="133">
        <v>4</v>
      </c>
      <c r="C19" s="133" t="s">
        <v>220</v>
      </c>
      <c r="D19" s="133" t="s">
        <v>221</v>
      </c>
    </row>
    <row r="20" spans="1:4" ht="17" x14ac:dyDescent="0.2">
      <c r="A20" s="134" t="s">
        <v>222</v>
      </c>
      <c r="B20" s="133">
        <v>20</v>
      </c>
      <c r="C20" s="133" t="s">
        <v>223</v>
      </c>
      <c r="D20" s="133" t="s">
        <v>224</v>
      </c>
    </row>
    <row r="21" spans="1:4" ht="17" x14ac:dyDescent="0.2">
      <c r="A21" s="134" t="s">
        <v>225</v>
      </c>
      <c r="B21" s="133">
        <v>6</v>
      </c>
      <c r="C21" s="133" t="s">
        <v>226</v>
      </c>
      <c r="D21" s="133" t="s">
        <v>227</v>
      </c>
    </row>
    <row r="22" spans="1:4" ht="17" x14ac:dyDescent="0.2">
      <c r="A22" s="134" t="s">
        <v>228</v>
      </c>
      <c r="B22" s="133">
        <v>2</v>
      </c>
      <c r="C22" s="133" t="s">
        <v>229</v>
      </c>
      <c r="D22" s="133" t="s">
        <v>230</v>
      </c>
    </row>
    <row r="23" spans="1:4" ht="17" x14ac:dyDescent="0.2">
      <c r="A23" s="134" t="s">
        <v>231</v>
      </c>
      <c r="B23" s="133">
        <v>12</v>
      </c>
      <c r="C23" s="133" t="s">
        <v>199</v>
      </c>
      <c r="D23" s="133" t="s">
        <v>232</v>
      </c>
    </row>
    <row r="24" spans="1:4" ht="17" x14ac:dyDescent="0.2">
      <c r="A24" s="134" t="s">
        <v>233</v>
      </c>
      <c r="B24" s="133">
        <v>6</v>
      </c>
      <c r="C24" s="133" t="s">
        <v>234</v>
      </c>
      <c r="D24" s="133" t="s">
        <v>235</v>
      </c>
    </row>
    <row r="25" spans="1:4" ht="17" x14ac:dyDescent="0.2">
      <c r="A25" s="134" t="s">
        <v>236</v>
      </c>
      <c r="B25" s="133">
        <v>3</v>
      </c>
      <c r="C25" s="133" t="s">
        <v>237</v>
      </c>
      <c r="D25" s="133" t="s">
        <v>238</v>
      </c>
    </row>
    <row r="26" spans="1:4" ht="17" x14ac:dyDescent="0.2">
      <c r="A26" s="134" t="s">
        <v>239</v>
      </c>
      <c r="B26" s="133">
        <v>7</v>
      </c>
      <c r="C26" s="133" t="s">
        <v>199</v>
      </c>
      <c r="D26" s="133" t="s">
        <v>206</v>
      </c>
    </row>
    <row r="27" spans="1:4" ht="17" x14ac:dyDescent="0.2">
      <c r="A27" s="134" t="s">
        <v>240</v>
      </c>
      <c r="B27" s="133">
        <v>5</v>
      </c>
      <c r="C27" s="133" t="s">
        <v>202</v>
      </c>
      <c r="D27" s="133" t="s">
        <v>241</v>
      </c>
    </row>
    <row r="28" spans="1:4" ht="17" x14ac:dyDescent="0.2">
      <c r="A28" s="134" t="s">
        <v>242</v>
      </c>
      <c r="B28" s="133">
        <v>7</v>
      </c>
      <c r="C28" s="133" t="s">
        <v>243</v>
      </c>
      <c r="D28" s="133" t="s">
        <v>244</v>
      </c>
    </row>
    <row r="29" spans="1:4" ht="17" x14ac:dyDescent="0.2">
      <c r="A29" s="134" t="s">
        <v>245</v>
      </c>
      <c r="B29" s="133">
        <v>5</v>
      </c>
      <c r="C29" s="133" t="s">
        <v>246</v>
      </c>
      <c r="D29" s="133" t="s">
        <v>247</v>
      </c>
    </row>
    <row r="30" spans="1:4" ht="17" x14ac:dyDescent="0.2">
      <c r="A30" s="134" t="s">
        <v>248</v>
      </c>
      <c r="B30" s="133">
        <v>8</v>
      </c>
      <c r="C30" s="133" t="s">
        <v>202</v>
      </c>
      <c r="D30" s="133" t="s">
        <v>249</v>
      </c>
    </row>
    <row r="31" spans="1:4" ht="17" x14ac:dyDescent="0.2">
      <c r="A31" s="134" t="s">
        <v>250</v>
      </c>
      <c r="B31" s="133">
        <v>9</v>
      </c>
      <c r="C31" s="133" t="s">
        <v>251</v>
      </c>
      <c r="D31" s="133" t="s">
        <v>252</v>
      </c>
    </row>
    <row r="32" spans="1:4" ht="17" x14ac:dyDescent="0.2">
      <c r="A32" s="134" t="s">
        <v>253</v>
      </c>
      <c r="B32" s="133">
        <v>6</v>
      </c>
      <c r="C32" s="133" t="s">
        <v>254</v>
      </c>
      <c r="D32" s="133" t="s">
        <v>255</v>
      </c>
    </row>
    <row r="33" spans="1:4" ht="17" x14ac:dyDescent="0.2">
      <c r="A33" s="134" t="s">
        <v>256</v>
      </c>
      <c r="B33" s="133">
        <v>8</v>
      </c>
      <c r="C33" s="133" t="s">
        <v>257</v>
      </c>
      <c r="D33" s="133" t="s">
        <v>258</v>
      </c>
    </row>
    <row r="34" spans="1:4" ht="17" x14ac:dyDescent="0.2">
      <c r="A34" s="134" t="s">
        <v>259</v>
      </c>
      <c r="B34" s="133">
        <v>13</v>
      </c>
      <c r="C34" s="133" t="s">
        <v>181</v>
      </c>
      <c r="D34" s="133" t="s">
        <v>260</v>
      </c>
    </row>
    <row r="35" spans="1:4" ht="17" x14ac:dyDescent="0.2">
      <c r="A35" s="134" t="s">
        <v>261</v>
      </c>
      <c r="B35" s="133">
        <v>7</v>
      </c>
      <c r="C35" s="133" t="s">
        <v>262</v>
      </c>
      <c r="D35" s="133" t="s">
        <v>263</v>
      </c>
    </row>
    <row r="36" spans="1:4" ht="17" x14ac:dyDescent="0.2">
      <c r="A36" s="134" t="s">
        <v>264</v>
      </c>
      <c r="B36" s="133">
        <v>6</v>
      </c>
      <c r="C36" s="133" t="s">
        <v>265</v>
      </c>
      <c r="D36" s="133" t="s">
        <v>266</v>
      </c>
    </row>
    <row r="37" spans="1:4" ht="17" x14ac:dyDescent="0.2">
      <c r="A37" s="134" t="s">
        <v>267</v>
      </c>
      <c r="B37" s="133">
        <v>10</v>
      </c>
      <c r="C37" s="133" t="s">
        <v>268</v>
      </c>
      <c r="D37" s="133" t="s">
        <v>269</v>
      </c>
    </row>
    <row r="38" spans="1:4" ht="17" x14ac:dyDescent="0.2">
      <c r="A38" s="134" t="s">
        <v>270</v>
      </c>
      <c r="B38" s="133">
        <v>12</v>
      </c>
      <c r="C38" s="133" t="s">
        <v>199</v>
      </c>
      <c r="D38" s="133" t="s">
        <v>206</v>
      </c>
    </row>
    <row r="39" spans="1:4" ht="17" x14ac:dyDescent="0.2">
      <c r="A39" s="134" t="s">
        <v>271</v>
      </c>
      <c r="B39" s="133">
        <v>4</v>
      </c>
      <c r="C39" s="133" t="s">
        <v>272</v>
      </c>
      <c r="D39" s="133" t="s">
        <v>273</v>
      </c>
    </row>
    <row r="40" spans="1:4" ht="17" x14ac:dyDescent="0.2">
      <c r="A40" s="134" t="s">
        <v>274</v>
      </c>
      <c r="B40" s="133">
        <v>5</v>
      </c>
      <c r="C40" s="133" t="s">
        <v>254</v>
      </c>
      <c r="D40" s="133" t="s">
        <v>275</v>
      </c>
    </row>
    <row r="41" spans="1:4" ht="17" x14ac:dyDescent="0.2">
      <c r="A41" s="134" t="s">
        <v>276</v>
      </c>
      <c r="B41" s="133">
        <v>6</v>
      </c>
      <c r="C41" s="133" t="s">
        <v>277</v>
      </c>
      <c r="D41" s="133" t="s">
        <v>278</v>
      </c>
    </row>
    <row r="42" spans="1:4" ht="17" x14ac:dyDescent="0.2">
      <c r="A42" s="134" t="s">
        <v>279</v>
      </c>
      <c r="B42" s="133">
        <v>6</v>
      </c>
      <c r="C42" s="133" t="s">
        <v>280</v>
      </c>
      <c r="D42" s="133" t="s">
        <v>281</v>
      </c>
    </row>
    <row r="43" spans="1:4" ht="17" x14ac:dyDescent="0.2">
      <c r="A43" s="134" t="s">
        <v>282</v>
      </c>
      <c r="B43" s="133">
        <v>19</v>
      </c>
      <c r="C43" s="133" t="s">
        <v>283</v>
      </c>
      <c r="D43" s="133" t="s">
        <v>284</v>
      </c>
    </row>
    <row r="44" spans="1:4" ht="17" x14ac:dyDescent="0.2">
      <c r="A44" s="134" t="s">
        <v>285</v>
      </c>
      <c r="B44" s="133">
        <v>8</v>
      </c>
      <c r="C44" s="133" t="s">
        <v>205</v>
      </c>
      <c r="D44" s="133" t="s">
        <v>286</v>
      </c>
    </row>
    <row r="45" spans="1:4" ht="17" x14ac:dyDescent="0.2">
      <c r="A45" s="134" t="s">
        <v>287</v>
      </c>
      <c r="B45" s="133">
        <v>7</v>
      </c>
      <c r="C45" s="133" t="s">
        <v>243</v>
      </c>
      <c r="D45" s="133" t="s">
        <v>288</v>
      </c>
    </row>
    <row r="46" spans="1:4" ht="17" x14ac:dyDescent="0.2">
      <c r="A46" s="134" t="s">
        <v>289</v>
      </c>
      <c r="B46" s="133">
        <v>17</v>
      </c>
      <c r="C46" s="133" t="s">
        <v>199</v>
      </c>
      <c r="D46" s="133" t="s">
        <v>290</v>
      </c>
    </row>
    <row r="47" spans="1:4" ht="17" x14ac:dyDescent="0.2">
      <c r="A47" s="134" t="s">
        <v>291</v>
      </c>
      <c r="B47" s="133">
        <v>13</v>
      </c>
      <c r="C47" s="133" t="s">
        <v>292</v>
      </c>
      <c r="D47" s="133" t="s">
        <v>293</v>
      </c>
    </row>
    <row r="48" spans="1:4" ht="17" x14ac:dyDescent="0.2">
      <c r="A48" s="134" t="s">
        <v>294</v>
      </c>
      <c r="B48" s="133">
        <v>9</v>
      </c>
      <c r="C48" s="133" t="s">
        <v>295</v>
      </c>
      <c r="D48" s="133" t="s">
        <v>296</v>
      </c>
    </row>
    <row r="49" spans="1:4" ht="17" x14ac:dyDescent="0.2">
      <c r="A49" s="134" t="s">
        <v>297</v>
      </c>
      <c r="B49" s="133">
        <v>15</v>
      </c>
      <c r="C49" s="133" t="s">
        <v>298</v>
      </c>
      <c r="D49" s="133" t="s">
        <v>299</v>
      </c>
    </row>
    <row r="50" spans="1:4" ht="17" x14ac:dyDescent="0.2">
      <c r="A50" s="134" t="s">
        <v>300</v>
      </c>
      <c r="B50" s="133">
        <v>6</v>
      </c>
      <c r="C50" s="133" t="s">
        <v>301</v>
      </c>
      <c r="D50" s="133" t="s">
        <v>302</v>
      </c>
    </row>
    <row r="51" spans="1:4" ht="17" x14ac:dyDescent="0.2">
      <c r="A51" s="134" t="s">
        <v>303</v>
      </c>
      <c r="B51" s="133">
        <v>7</v>
      </c>
      <c r="C51" s="133" t="s">
        <v>304</v>
      </c>
      <c r="D51" s="133" t="s">
        <v>305</v>
      </c>
    </row>
    <row r="52" spans="1:4" ht="17" x14ac:dyDescent="0.2">
      <c r="A52" s="134" t="s">
        <v>306</v>
      </c>
      <c r="B52" s="133">
        <v>39</v>
      </c>
      <c r="C52" s="133" t="s">
        <v>307</v>
      </c>
      <c r="D52" s="133" t="s">
        <v>308</v>
      </c>
    </row>
    <row r="53" spans="1:4" ht="17" x14ac:dyDescent="0.2">
      <c r="A53" s="134" t="s">
        <v>309</v>
      </c>
      <c r="B53" s="133" t="s">
        <v>310</v>
      </c>
      <c r="C53" s="133" t="s">
        <v>311</v>
      </c>
      <c r="D53" s="133" t="s">
        <v>312</v>
      </c>
    </row>
    <row r="54" spans="1:4" ht="17" x14ac:dyDescent="0.2">
      <c r="A54" s="134" t="s">
        <v>313</v>
      </c>
      <c r="B54" s="133" t="s">
        <v>310</v>
      </c>
      <c r="C54" s="133" t="s">
        <v>314</v>
      </c>
      <c r="D54" s="133" t="s">
        <v>315</v>
      </c>
    </row>
    <row r="55" spans="1:4" ht="17" x14ac:dyDescent="0.2">
      <c r="A55" s="134" t="s">
        <v>316</v>
      </c>
      <c r="B55" s="133" t="s">
        <v>310</v>
      </c>
      <c r="C55" s="133" t="s">
        <v>317</v>
      </c>
      <c r="D55" s="133" t="s">
        <v>318</v>
      </c>
    </row>
    <row r="56" spans="1:4" ht="17" x14ac:dyDescent="0.2">
      <c r="A56" s="134" t="s">
        <v>319</v>
      </c>
      <c r="B56" s="133" t="s">
        <v>310</v>
      </c>
      <c r="C56" s="133">
        <v>85</v>
      </c>
      <c r="D56" s="133" t="s">
        <v>320</v>
      </c>
    </row>
    <row r="57" spans="1:4" ht="34" x14ac:dyDescent="0.2">
      <c r="A57" s="135" t="s">
        <v>321</v>
      </c>
      <c r="B57" s="133" t="s">
        <v>310</v>
      </c>
      <c r="C57" s="133">
        <v>109</v>
      </c>
      <c r="D57" s="133" t="s">
        <v>322</v>
      </c>
    </row>
    <row r="59" spans="1:4" x14ac:dyDescent="0.2">
      <c r="A59" s="215" t="s">
        <v>323</v>
      </c>
      <c r="B59" s="215"/>
      <c r="C59" s="215"/>
    </row>
    <row r="60" spans="1:4" x14ac:dyDescent="0.2">
      <c r="A60" s="132" t="s">
        <v>164</v>
      </c>
      <c r="B60" s="132" t="s">
        <v>327</v>
      </c>
      <c r="C60" s="132" t="s">
        <v>328</v>
      </c>
    </row>
    <row r="61" spans="1:4" x14ac:dyDescent="0.2">
      <c r="A61" s="136" t="s">
        <v>309</v>
      </c>
      <c r="B61" s="136">
        <v>400</v>
      </c>
      <c r="C61" s="136">
        <v>37.65</v>
      </c>
    </row>
    <row r="62" spans="1:4" x14ac:dyDescent="0.2">
      <c r="A62" s="136" t="s">
        <v>313</v>
      </c>
      <c r="B62" s="136">
        <v>300</v>
      </c>
      <c r="C62" s="136">
        <v>27.85</v>
      </c>
    </row>
    <row r="63" spans="1:4" x14ac:dyDescent="0.2">
      <c r="A63" s="136" t="s">
        <v>326</v>
      </c>
      <c r="B63" s="136">
        <v>165</v>
      </c>
      <c r="C63" s="136" t="s">
        <v>324</v>
      </c>
    </row>
    <row r="64" spans="1:4" x14ac:dyDescent="0.2">
      <c r="A64" s="136" t="s">
        <v>319</v>
      </c>
      <c r="B64" s="136">
        <v>85</v>
      </c>
      <c r="C64" s="136">
        <v>21.1</v>
      </c>
    </row>
    <row r="65" spans="1:3" x14ac:dyDescent="0.2">
      <c r="A65" s="136" t="s">
        <v>325</v>
      </c>
      <c r="B65" s="136">
        <v>109</v>
      </c>
      <c r="C65" s="136">
        <v>23.6</v>
      </c>
    </row>
    <row r="66" spans="1:3" x14ac:dyDescent="0.2">
      <c r="A66" s="137" t="s">
        <v>32</v>
      </c>
      <c r="B66" s="137">
        <v>1.0589999999999999</v>
      </c>
      <c r="C66" s="137">
        <v>135.92500000000001</v>
      </c>
    </row>
    <row r="67" spans="1:3" x14ac:dyDescent="0.2">
      <c r="A67" s="138" t="s">
        <v>329</v>
      </c>
      <c r="B67" s="139">
        <v>212</v>
      </c>
      <c r="C67" s="140">
        <v>27.184999999999999</v>
      </c>
    </row>
    <row r="69" spans="1:3" x14ac:dyDescent="0.2">
      <c r="A69" s="148" t="s">
        <v>24</v>
      </c>
      <c r="B69" s="140" t="s">
        <v>342</v>
      </c>
      <c r="C69" s="140" t="s">
        <v>341</v>
      </c>
    </row>
    <row r="70" spans="1:3" x14ac:dyDescent="0.2">
      <c r="A70" s="147">
        <v>2026</v>
      </c>
      <c r="B70" s="147" t="s">
        <v>343</v>
      </c>
      <c r="C70" s="147" t="s">
        <v>348</v>
      </c>
    </row>
    <row r="71" spans="1:3" x14ac:dyDescent="0.2">
      <c r="A71" s="147">
        <v>2027</v>
      </c>
      <c r="B71" s="147">
        <v>5</v>
      </c>
      <c r="C71" s="147" t="s">
        <v>349</v>
      </c>
    </row>
    <row r="72" spans="1:3" x14ac:dyDescent="0.2">
      <c r="A72" s="147">
        <v>2028</v>
      </c>
      <c r="B72" s="147" t="s">
        <v>344</v>
      </c>
      <c r="C72" s="147" t="s">
        <v>352</v>
      </c>
    </row>
    <row r="73" spans="1:3" x14ac:dyDescent="0.2">
      <c r="A73" s="147">
        <v>2029</v>
      </c>
      <c r="B73" s="147" t="s">
        <v>345</v>
      </c>
      <c r="C73" s="147" t="s">
        <v>350</v>
      </c>
    </row>
    <row r="74" spans="1:3" x14ac:dyDescent="0.2">
      <c r="A74" s="147">
        <v>2030</v>
      </c>
      <c r="B74" s="147" t="s">
        <v>346</v>
      </c>
      <c r="C74" s="147" t="s">
        <v>351</v>
      </c>
    </row>
    <row r="75" spans="1:3" x14ac:dyDescent="0.2">
      <c r="A75" s="147">
        <v>2031</v>
      </c>
      <c r="B75" s="147" t="s">
        <v>347</v>
      </c>
      <c r="C75" s="147" t="s">
        <v>353</v>
      </c>
    </row>
  </sheetData>
  <mergeCells count="1">
    <mergeCell ref="A59:C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1EFB-A0F8-334F-9830-858817720E49}">
  <dimension ref="A1:C23"/>
  <sheetViews>
    <sheetView topLeftCell="B2" zoomScale="140" workbookViewId="0">
      <selection sqref="A1:C23"/>
    </sheetView>
  </sheetViews>
  <sheetFormatPr baseColWidth="10" defaultRowHeight="15" x14ac:dyDescent="0.2"/>
  <cols>
    <col min="1" max="1" width="27.6640625" style="5" bestFit="1" customWidth="1"/>
    <col min="2" max="2" width="87.5" style="5" bestFit="1" customWidth="1"/>
    <col min="3" max="3" width="14.33203125" style="5" customWidth="1"/>
    <col min="4" max="16384" width="10.83203125" style="5"/>
  </cols>
  <sheetData>
    <row r="1" spans="1:3" x14ac:dyDescent="0.2">
      <c r="A1" s="216" t="s">
        <v>388</v>
      </c>
      <c r="B1" s="216"/>
      <c r="C1" s="216"/>
    </row>
    <row r="2" spans="1:3" x14ac:dyDescent="0.2">
      <c r="A2" s="150" t="s">
        <v>354</v>
      </c>
      <c r="B2" s="150" t="s">
        <v>360</v>
      </c>
      <c r="C2" s="150" t="s">
        <v>361</v>
      </c>
    </row>
    <row r="3" spans="1:3" x14ac:dyDescent="0.2">
      <c r="A3" s="151" t="s">
        <v>362</v>
      </c>
      <c r="B3" s="151" t="s">
        <v>363</v>
      </c>
      <c r="C3" s="151" t="s">
        <v>364</v>
      </c>
    </row>
    <row r="4" spans="1:3" x14ac:dyDescent="0.2">
      <c r="A4" s="151" t="s">
        <v>365</v>
      </c>
      <c r="B4" s="151" t="s">
        <v>366</v>
      </c>
      <c r="C4" s="151" t="s">
        <v>367</v>
      </c>
    </row>
    <row r="5" spans="1:3" x14ac:dyDescent="0.2">
      <c r="A5" s="151" t="s">
        <v>368</v>
      </c>
      <c r="B5" s="151" t="s">
        <v>369</v>
      </c>
      <c r="C5" s="151" t="s">
        <v>370</v>
      </c>
    </row>
    <row r="6" spans="1:3" x14ac:dyDescent="0.2">
      <c r="A6" s="151" t="s">
        <v>371</v>
      </c>
      <c r="B6" s="151" t="s">
        <v>372</v>
      </c>
      <c r="C6" s="151" t="s">
        <v>373</v>
      </c>
    </row>
    <row r="7" spans="1:3" x14ac:dyDescent="0.2">
      <c r="A7" s="151" t="s">
        <v>374</v>
      </c>
      <c r="B7" s="151" t="s">
        <v>375</v>
      </c>
      <c r="C7" s="151" t="s">
        <v>373</v>
      </c>
    </row>
    <row r="8" spans="1:3" x14ac:dyDescent="0.2">
      <c r="A8" s="151" t="s">
        <v>376</v>
      </c>
      <c r="B8" s="151" t="s">
        <v>377</v>
      </c>
      <c r="C8" s="151" t="s">
        <v>367</v>
      </c>
    </row>
    <row r="9" spans="1:3" x14ac:dyDescent="0.2">
      <c r="A9" s="151" t="s">
        <v>378</v>
      </c>
      <c r="B9" s="151" t="s">
        <v>379</v>
      </c>
      <c r="C9" s="151" t="s">
        <v>380</v>
      </c>
    </row>
    <row r="10" spans="1:3" x14ac:dyDescent="0.2">
      <c r="A10" s="151" t="s">
        <v>355</v>
      </c>
      <c r="B10" s="151" t="s">
        <v>381</v>
      </c>
      <c r="C10" s="151" t="s">
        <v>382</v>
      </c>
    </row>
    <row r="11" spans="1:3" x14ac:dyDescent="0.2">
      <c r="A11" s="151" t="s">
        <v>356</v>
      </c>
      <c r="B11" s="151" t="s">
        <v>383</v>
      </c>
      <c r="C11" s="151" t="s">
        <v>380</v>
      </c>
    </row>
    <row r="12" spans="1:3" x14ac:dyDescent="0.2">
      <c r="A12" s="151" t="s">
        <v>357</v>
      </c>
      <c r="B12" s="151" t="s">
        <v>384</v>
      </c>
      <c r="C12" s="151" t="s">
        <v>370</v>
      </c>
    </row>
    <row r="13" spans="1:3" x14ac:dyDescent="0.2">
      <c r="A13" s="151" t="s">
        <v>358</v>
      </c>
      <c r="B13" s="151" t="s">
        <v>385</v>
      </c>
      <c r="C13" s="151" t="s">
        <v>367</v>
      </c>
    </row>
    <row r="14" spans="1:3" x14ac:dyDescent="0.2">
      <c r="A14" s="152" t="s">
        <v>32</v>
      </c>
      <c r="B14" s="153"/>
      <c r="C14" s="152" t="s">
        <v>386</v>
      </c>
    </row>
    <row r="16" spans="1:3" x14ac:dyDescent="0.2">
      <c r="A16" s="216" t="s">
        <v>387</v>
      </c>
      <c r="B16" s="216"/>
      <c r="C16" s="216"/>
    </row>
    <row r="17" spans="1:3" x14ac:dyDescent="0.2">
      <c r="A17" s="150" t="s">
        <v>354</v>
      </c>
      <c r="B17" s="150" t="s">
        <v>360</v>
      </c>
      <c r="C17" s="150" t="s">
        <v>361</v>
      </c>
    </row>
    <row r="18" spans="1:3" x14ac:dyDescent="0.2">
      <c r="A18" s="151" t="s">
        <v>389</v>
      </c>
      <c r="B18" s="151" t="s">
        <v>390</v>
      </c>
      <c r="C18" s="151" t="s">
        <v>391</v>
      </c>
    </row>
    <row r="19" spans="1:3" x14ac:dyDescent="0.2">
      <c r="A19" s="151" t="s">
        <v>392</v>
      </c>
      <c r="B19" s="151" t="s">
        <v>393</v>
      </c>
      <c r="C19" s="151" t="s">
        <v>394</v>
      </c>
    </row>
    <row r="20" spans="1:3" x14ac:dyDescent="0.2">
      <c r="A20" s="151" t="s">
        <v>395</v>
      </c>
      <c r="B20" s="151" t="s">
        <v>396</v>
      </c>
      <c r="C20" s="151" t="s">
        <v>397</v>
      </c>
    </row>
    <row r="21" spans="1:3" x14ac:dyDescent="0.2">
      <c r="A21" s="151" t="s">
        <v>398</v>
      </c>
      <c r="B21" s="151" t="s">
        <v>399</v>
      </c>
      <c r="C21" s="151" t="s">
        <v>400</v>
      </c>
    </row>
    <row r="22" spans="1:3" x14ac:dyDescent="0.2">
      <c r="A22" s="151" t="s">
        <v>401</v>
      </c>
      <c r="B22" s="151" t="s">
        <v>402</v>
      </c>
      <c r="C22" s="151" t="s">
        <v>400</v>
      </c>
    </row>
    <row r="23" spans="1:3" x14ac:dyDescent="0.2">
      <c r="A23" s="152" t="s">
        <v>32</v>
      </c>
      <c r="B23" s="153"/>
      <c r="C23" s="152" t="s">
        <v>403</v>
      </c>
    </row>
  </sheetData>
  <mergeCells count="2">
    <mergeCell ref="A1:C1"/>
    <mergeCell ref="A16:C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C4B37-2492-6E4A-B2D0-3737EDB5FAB8}">
  <dimension ref="A1:J38"/>
  <sheetViews>
    <sheetView tabSelected="1" zoomScale="125" workbookViewId="0">
      <selection activeCell="H18" sqref="H18"/>
    </sheetView>
  </sheetViews>
  <sheetFormatPr baseColWidth="10" defaultRowHeight="15" x14ac:dyDescent="0.2"/>
  <cols>
    <col min="1" max="1" width="8.1640625" style="5" customWidth="1"/>
    <col min="2" max="2" width="22.1640625" style="5" customWidth="1"/>
    <col min="3" max="3" width="39.5" style="5" customWidth="1"/>
    <col min="4" max="4" width="27.5" style="5" bestFit="1" customWidth="1"/>
    <col min="5" max="6" width="27.5" style="5" customWidth="1"/>
    <col min="7" max="7" width="10.83203125" style="5"/>
    <col min="8" max="8" width="61.33203125" style="5" bestFit="1" customWidth="1"/>
    <col min="9" max="9" width="46.5" style="5" bestFit="1" customWidth="1"/>
    <col min="10" max="10" width="70.6640625" style="5" bestFit="1" customWidth="1"/>
    <col min="11" max="16384" width="10.83203125" style="5"/>
  </cols>
  <sheetData>
    <row r="1" spans="1:10" x14ac:dyDescent="0.2">
      <c r="A1" s="155" t="s">
        <v>24</v>
      </c>
      <c r="B1" s="155" t="s">
        <v>404</v>
      </c>
      <c r="C1" s="155" t="s">
        <v>405</v>
      </c>
      <c r="D1" s="155" t="s">
        <v>505</v>
      </c>
      <c r="E1" s="157" t="s">
        <v>506</v>
      </c>
      <c r="F1" s="157" t="s">
        <v>509</v>
      </c>
      <c r="H1" s="223" t="s">
        <v>424</v>
      </c>
      <c r="I1" s="223"/>
      <c r="J1" s="223"/>
    </row>
    <row r="2" spans="1:10" x14ac:dyDescent="0.2">
      <c r="A2" s="151">
        <v>2027</v>
      </c>
      <c r="B2" s="151">
        <v>358</v>
      </c>
      <c r="C2" s="151" t="s">
        <v>419</v>
      </c>
      <c r="D2" s="160">
        <v>60</v>
      </c>
      <c r="E2" s="160">
        <f>D2*12</f>
        <v>720</v>
      </c>
      <c r="F2" s="160">
        <f>E2/B2</f>
        <v>2.011173184357542</v>
      </c>
      <c r="H2" s="8" t="s">
        <v>425</v>
      </c>
      <c r="I2" s="8" t="s">
        <v>426</v>
      </c>
      <c r="J2" s="8" t="s">
        <v>427</v>
      </c>
    </row>
    <row r="3" spans="1:10" x14ac:dyDescent="0.2">
      <c r="A3" s="151">
        <v>2028</v>
      </c>
      <c r="B3" s="151">
        <v>1003</v>
      </c>
      <c r="C3" s="151" t="s">
        <v>420</v>
      </c>
      <c r="D3" s="160">
        <v>175</v>
      </c>
      <c r="E3" s="160">
        <f t="shared" ref="E3:E6" si="0">D3*12</f>
        <v>2100</v>
      </c>
      <c r="F3" s="160">
        <f t="shared" ref="F3:F6" si="1">E3/B3</f>
        <v>2.093718843469591</v>
      </c>
      <c r="H3" s="5" t="s">
        <v>428</v>
      </c>
      <c r="I3" s="5" t="s">
        <v>429</v>
      </c>
      <c r="J3" s="5" t="s">
        <v>430</v>
      </c>
    </row>
    <row r="4" spans="1:10" x14ac:dyDescent="0.2">
      <c r="A4" s="151">
        <v>2029</v>
      </c>
      <c r="B4" s="151">
        <v>2507</v>
      </c>
      <c r="C4" s="151" t="s">
        <v>421</v>
      </c>
      <c r="D4" s="160">
        <v>400</v>
      </c>
      <c r="E4" s="160">
        <f t="shared" si="0"/>
        <v>4800</v>
      </c>
      <c r="F4" s="160">
        <f t="shared" si="1"/>
        <v>1.9146390107698443</v>
      </c>
      <c r="H4" s="5" t="s">
        <v>431</v>
      </c>
      <c r="I4" s="5" t="s">
        <v>432</v>
      </c>
      <c r="J4" s="5" t="s">
        <v>433</v>
      </c>
    </row>
    <row r="5" spans="1:10" x14ac:dyDescent="0.2">
      <c r="A5" s="151">
        <v>2030</v>
      </c>
      <c r="B5" s="151">
        <v>3998</v>
      </c>
      <c r="C5" s="151" t="s">
        <v>422</v>
      </c>
      <c r="D5" s="160">
        <v>650</v>
      </c>
      <c r="E5" s="160">
        <f t="shared" si="0"/>
        <v>7800</v>
      </c>
      <c r="F5" s="160">
        <f t="shared" si="1"/>
        <v>1.9509754877438719</v>
      </c>
      <c r="H5" s="5" t="s">
        <v>434</v>
      </c>
      <c r="I5" s="5" t="s">
        <v>435</v>
      </c>
      <c r="J5" s="5" t="s">
        <v>495</v>
      </c>
    </row>
    <row r="6" spans="1:10" x14ac:dyDescent="0.2">
      <c r="A6" s="151">
        <v>2031</v>
      </c>
      <c r="B6" s="151">
        <v>6011</v>
      </c>
      <c r="C6" s="151" t="s">
        <v>423</v>
      </c>
      <c r="D6" s="160">
        <v>1250</v>
      </c>
      <c r="E6" s="160">
        <f t="shared" si="0"/>
        <v>15000</v>
      </c>
      <c r="F6" s="160">
        <f t="shared" si="1"/>
        <v>2.4954250540675429</v>
      </c>
      <c r="H6" s="223" t="s">
        <v>436</v>
      </c>
      <c r="I6" s="223"/>
      <c r="J6" s="223"/>
    </row>
    <row r="7" spans="1:10" x14ac:dyDescent="0.2">
      <c r="H7" s="8" t="s">
        <v>425</v>
      </c>
      <c r="I7" s="8" t="s">
        <v>426</v>
      </c>
      <c r="J7" s="8" t="s">
        <v>437</v>
      </c>
    </row>
    <row r="8" spans="1:10" x14ac:dyDescent="0.2">
      <c r="A8" s="217" t="s">
        <v>406</v>
      </c>
      <c r="B8" s="218"/>
      <c r="C8" s="218"/>
      <c r="D8" s="219"/>
      <c r="E8" s="158"/>
      <c r="F8" s="158"/>
      <c r="H8" s="5" t="s">
        <v>438</v>
      </c>
      <c r="I8" s="5" t="s">
        <v>439</v>
      </c>
      <c r="J8" s="5" t="s">
        <v>440</v>
      </c>
    </row>
    <row r="9" spans="1:10" x14ac:dyDescent="0.2">
      <c r="A9" s="156" t="s">
        <v>24</v>
      </c>
      <c r="B9" s="156" t="s">
        <v>407</v>
      </c>
      <c r="C9" s="220" t="s">
        <v>408</v>
      </c>
      <c r="D9" s="221"/>
      <c r="E9" s="159"/>
      <c r="F9" s="159"/>
      <c r="H9" s="5" t="s">
        <v>441</v>
      </c>
      <c r="I9" s="5" t="s">
        <v>442</v>
      </c>
      <c r="J9" s="5" t="s">
        <v>443</v>
      </c>
    </row>
    <row r="10" spans="1:10" x14ac:dyDescent="0.2">
      <c r="A10" s="154">
        <v>2027</v>
      </c>
      <c r="B10" s="154" t="s">
        <v>409</v>
      </c>
      <c r="C10" s="154" t="s">
        <v>410</v>
      </c>
      <c r="D10" s="154"/>
      <c r="H10" s="5" t="s">
        <v>444</v>
      </c>
      <c r="I10" s="5" t="s">
        <v>445</v>
      </c>
      <c r="J10" s="5" t="s">
        <v>446</v>
      </c>
    </row>
    <row r="11" spans="1:10" x14ac:dyDescent="0.2">
      <c r="A11" s="154">
        <v>2028</v>
      </c>
      <c r="B11" s="154" t="s">
        <v>411</v>
      </c>
      <c r="C11" s="154" t="s">
        <v>412</v>
      </c>
      <c r="D11" s="154"/>
      <c r="H11" s="5" t="s">
        <v>447</v>
      </c>
      <c r="I11" s="5" t="s">
        <v>448</v>
      </c>
      <c r="J11" s="5" t="s">
        <v>449</v>
      </c>
    </row>
    <row r="12" spans="1:10" x14ac:dyDescent="0.2">
      <c r="A12" s="154">
        <v>2029</v>
      </c>
      <c r="B12" s="154" t="s">
        <v>413</v>
      </c>
      <c r="C12" s="154" t="s">
        <v>414</v>
      </c>
      <c r="D12" s="154"/>
      <c r="H12" s="223" t="s">
        <v>450</v>
      </c>
      <c r="I12" s="223"/>
      <c r="J12" s="223"/>
    </row>
    <row r="13" spans="1:10" x14ac:dyDescent="0.2">
      <c r="A13" s="154">
        <v>2030</v>
      </c>
      <c r="B13" s="154" t="s">
        <v>415</v>
      </c>
      <c r="C13" s="154" t="s">
        <v>416</v>
      </c>
      <c r="D13" s="154"/>
      <c r="H13" s="8" t="s">
        <v>425</v>
      </c>
      <c r="I13" s="8" t="s">
        <v>426</v>
      </c>
      <c r="J13" s="8" t="s">
        <v>437</v>
      </c>
    </row>
    <row r="14" spans="1:10" x14ac:dyDescent="0.2">
      <c r="A14" s="154">
        <v>2031</v>
      </c>
      <c r="B14" s="154" t="s">
        <v>417</v>
      </c>
      <c r="C14" s="154" t="s">
        <v>418</v>
      </c>
      <c r="D14" s="154"/>
      <c r="H14" s="5" t="s">
        <v>451</v>
      </c>
      <c r="I14" s="5" t="s">
        <v>452</v>
      </c>
      <c r="J14" s="5" t="s">
        <v>453</v>
      </c>
    </row>
    <row r="15" spans="1:10" x14ac:dyDescent="0.2">
      <c r="H15" s="5" t="s">
        <v>454</v>
      </c>
      <c r="I15" s="5" t="s">
        <v>455</v>
      </c>
      <c r="J15" s="5" t="s">
        <v>496</v>
      </c>
    </row>
    <row r="16" spans="1:10" x14ac:dyDescent="0.2">
      <c r="H16" s="223" t="s">
        <v>456</v>
      </c>
      <c r="I16" s="223"/>
      <c r="J16" s="223"/>
    </row>
    <row r="17" spans="8:10" x14ac:dyDescent="0.2">
      <c r="H17" s="8" t="s">
        <v>425</v>
      </c>
      <c r="I17" s="8" t="s">
        <v>426</v>
      </c>
      <c r="J17" s="8" t="s">
        <v>437</v>
      </c>
    </row>
    <row r="18" spans="8:10" x14ac:dyDescent="0.2">
      <c r="H18" s="5" t="s">
        <v>457</v>
      </c>
      <c r="I18" s="5" t="s">
        <v>458</v>
      </c>
      <c r="J18" s="5" t="s">
        <v>459</v>
      </c>
    </row>
    <row r="19" spans="8:10" x14ac:dyDescent="0.2">
      <c r="H19" s="5" t="s">
        <v>460</v>
      </c>
      <c r="I19" s="5" t="s">
        <v>461</v>
      </c>
      <c r="J19" s="5" t="s">
        <v>462</v>
      </c>
    </row>
    <row r="20" spans="8:10" x14ac:dyDescent="0.2">
      <c r="H20" s="223" t="s">
        <v>463</v>
      </c>
      <c r="I20" s="223"/>
      <c r="J20" s="223"/>
    </row>
    <row r="21" spans="8:10" x14ac:dyDescent="0.2">
      <c r="H21" s="8" t="s">
        <v>425</v>
      </c>
      <c r="I21" s="8" t="s">
        <v>426</v>
      </c>
      <c r="J21" s="8" t="s">
        <v>464</v>
      </c>
    </row>
    <row r="22" spans="8:10" x14ac:dyDescent="0.2">
      <c r="H22" s="222" t="s">
        <v>465</v>
      </c>
      <c r="I22" s="222" t="s">
        <v>466</v>
      </c>
      <c r="J22" s="5" t="s">
        <v>497</v>
      </c>
    </row>
    <row r="23" spans="8:10" x14ac:dyDescent="0.2">
      <c r="H23" s="222"/>
      <c r="I23" s="222"/>
      <c r="J23" s="5" t="s">
        <v>498</v>
      </c>
    </row>
    <row r="24" spans="8:10" x14ac:dyDescent="0.2">
      <c r="H24" s="222"/>
      <c r="I24" s="222"/>
      <c r="J24" s="5" t="s">
        <v>499</v>
      </c>
    </row>
    <row r="25" spans="8:10" x14ac:dyDescent="0.2">
      <c r="H25" s="5" t="s">
        <v>467</v>
      </c>
      <c r="I25" s="5" t="s">
        <v>468</v>
      </c>
      <c r="J25" s="5" t="s">
        <v>500</v>
      </c>
    </row>
    <row r="26" spans="8:10" x14ac:dyDescent="0.2">
      <c r="H26" s="5" t="s">
        <v>469</v>
      </c>
      <c r="I26" s="5" t="s">
        <v>470</v>
      </c>
      <c r="J26" s="5" t="s">
        <v>471</v>
      </c>
    </row>
    <row r="27" spans="8:10" x14ac:dyDescent="0.2">
      <c r="H27" s="5" t="s">
        <v>472</v>
      </c>
      <c r="I27" s="5" t="s">
        <v>473</v>
      </c>
      <c r="J27" s="5" t="s">
        <v>474</v>
      </c>
    </row>
    <row r="28" spans="8:10" x14ac:dyDescent="0.2">
      <c r="H28" s="223" t="s">
        <v>475</v>
      </c>
      <c r="I28" s="223"/>
      <c r="J28" s="223"/>
    </row>
    <row r="29" spans="8:10" x14ac:dyDescent="0.2">
      <c r="H29" s="8" t="s">
        <v>425</v>
      </c>
      <c r="I29" s="8" t="s">
        <v>426</v>
      </c>
      <c r="J29" s="8" t="s">
        <v>437</v>
      </c>
    </row>
    <row r="30" spans="8:10" x14ac:dyDescent="0.2">
      <c r="H30" s="5" t="s">
        <v>476</v>
      </c>
      <c r="I30" s="5" t="s">
        <v>477</v>
      </c>
      <c r="J30" s="5" t="s">
        <v>478</v>
      </c>
    </row>
    <row r="31" spans="8:10" x14ac:dyDescent="0.2">
      <c r="H31" s="5" t="s">
        <v>479</v>
      </c>
      <c r="I31" s="5" t="s">
        <v>480</v>
      </c>
      <c r="J31" s="5" t="s">
        <v>481</v>
      </c>
    </row>
    <row r="32" spans="8:10" x14ac:dyDescent="0.2">
      <c r="H32" s="5" t="s">
        <v>482</v>
      </c>
      <c r="I32" s="5" t="s">
        <v>483</v>
      </c>
      <c r="J32" s="5" t="s">
        <v>484</v>
      </c>
    </row>
    <row r="33" spans="8:10" x14ac:dyDescent="0.2">
      <c r="H33" s="223" t="s">
        <v>485</v>
      </c>
      <c r="I33" s="223"/>
      <c r="J33" s="223"/>
    </row>
    <row r="34" spans="8:10" x14ac:dyDescent="0.2">
      <c r="H34" s="8" t="s">
        <v>425</v>
      </c>
      <c r="I34" s="8" t="s">
        <v>426</v>
      </c>
      <c r="J34" s="8" t="s">
        <v>486</v>
      </c>
    </row>
    <row r="35" spans="8:10" x14ac:dyDescent="0.2">
      <c r="H35" s="5" t="s">
        <v>487</v>
      </c>
      <c r="I35" s="5" t="s">
        <v>488</v>
      </c>
      <c r="J35" s="5" t="s">
        <v>501</v>
      </c>
    </row>
    <row r="36" spans="8:10" x14ac:dyDescent="0.2">
      <c r="H36" s="5" t="s">
        <v>489</v>
      </c>
      <c r="I36" s="5" t="s">
        <v>490</v>
      </c>
      <c r="J36" s="5" t="s">
        <v>502</v>
      </c>
    </row>
    <row r="37" spans="8:10" x14ac:dyDescent="0.2">
      <c r="H37" s="5" t="s">
        <v>491</v>
      </c>
      <c r="I37" s="5" t="s">
        <v>492</v>
      </c>
      <c r="J37" s="5" t="s">
        <v>503</v>
      </c>
    </row>
    <row r="38" spans="8:10" x14ac:dyDescent="0.2">
      <c r="H38" s="5" t="s">
        <v>493</v>
      </c>
      <c r="I38" s="5" t="s">
        <v>494</v>
      </c>
      <c r="J38" s="5" t="s">
        <v>504</v>
      </c>
    </row>
  </sheetData>
  <mergeCells count="11">
    <mergeCell ref="H1:J1"/>
    <mergeCell ref="H6:J6"/>
    <mergeCell ref="H12:J12"/>
    <mergeCell ref="H16:J16"/>
    <mergeCell ref="H20:J20"/>
    <mergeCell ref="A8:D8"/>
    <mergeCell ref="C9:D9"/>
    <mergeCell ref="H22:H24"/>
    <mergeCell ref="H28:J28"/>
    <mergeCell ref="H33:J33"/>
    <mergeCell ref="I22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1-Balance Sheet</vt:lpstr>
      <vt:lpstr>2-Income Statement</vt:lpstr>
      <vt:lpstr>3-Cash Flow Statement</vt:lpstr>
      <vt:lpstr>4-Monthly Service Revenue</vt:lpstr>
      <vt:lpstr>5-Human Resource</vt:lpstr>
      <vt:lpstr>6-BD Scaling </vt:lpstr>
      <vt:lpstr>7-NPV, IRR, TV</vt:lpstr>
      <vt:lpstr>8-Reference</vt:lpstr>
      <vt:lpstr>9-Customer List</vt:lpstr>
      <vt:lpstr>10-Bill of Material (Hardware)</vt:lpstr>
      <vt:lpstr>11-Infrastructure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Phạm Tuấn Anh</cp:lastModifiedBy>
  <dcterms:created xsi:type="dcterms:W3CDTF">2022-08-22T01:16:26Z</dcterms:created>
  <dcterms:modified xsi:type="dcterms:W3CDTF">2026-05-16T04:23:50Z</dcterms:modified>
</cp:coreProperties>
</file>